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securetech1-my.sharepoint.com/personal/baljit_ghotra_esecure-tech_com/Documents/Zenith Bank/2025/"/>
    </mc:Choice>
  </mc:AlternateContent>
  <xr:revisionPtr revIDLastSave="37" documentId="8_{1EA24209-E015-4B8F-B45C-E2ED1FC0EDB3}" xr6:coauthVersionLast="47" xr6:coauthVersionMax="47" xr10:uidLastSave="{53F1499C-F148-4C9E-803C-197F884EE227}"/>
  <bookViews>
    <workbookView xWindow="-120" yWindow="-16320" windowWidth="29040" windowHeight="15720" tabRatio="837" xr2:uid="{00000000-000D-0000-FFFF-FFFF00000000}"/>
  </bookViews>
  <sheets>
    <sheet name="Read me first " sheetId="2" r:id="rId1"/>
    <sheet name="Revision Record" sheetId="43" r:id="rId2"/>
    <sheet name="User Data" sheetId="21" r:id="rId3"/>
    <sheet name="Summary" sheetId="22" r:id="rId4"/>
    <sheet name="1.1" sheetId="1" r:id="rId5"/>
    <sheet name="1.2" sheetId="3" r:id="rId6"/>
    <sheet name="1.3" sheetId="41" r:id="rId7"/>
    <sheet name="1.4" sheetId="44" r:id="rId8"/>
    <sheet name="1.5" sheetId="49" r:id="rId9"/>
    <sheet name="2.1" sheetId="23" r:id="rId10"/>
    <sheet name="2.2" sheetId="24" r:id="rId11"/>
    <sheet name="2.3" sheetId="25" r:id="rId12"/>
    <sheet name="2.6" sheetId="37" r:id="rId13"/>
    <sheet name="2.7" sheetId="38" r:id="rId14"/>
    <sheet name="2.8" sheetId="50" r:id="rId15"/>
    <sheet name="2.9" sheetId="45" r:id="rId16"/>
    <sheet name="2.10" sheetId="42" r:id="rId17"/>
    <sheet name="3.1" sheetId="26" r:id="rId18"/>
    <sheet name="4.1" sheetId="27" r:id="rId19"/>
    <sheet name="4.2" sheetId="28" r:id="rId20"/>
    <sheet name="5.1" sheetId="29" r:id="rId21"/>
    <sheet name="5.2" sheetId="30" r:id="rId22"/>
    <sheet name="5.4" sheetId="39" r:id="rId23"/>
    <sheet name="6.1" sheetId="31" r:id="rId24"/>
    <sheet name="6.2" sheetId="32" r:id="rId25"/>
    <sheet name="6.3" sheetId="33" r:id="rId26"/>
    <sheet name="6.4" sheetId="34" r:id="rId27"/>
    <sheet name="7.1" sheetId="35" r:id="rId28"/>
    <sheet name="7.2" sheetId="36" r:id="rId29"/>
  </sheets>
  <definedNames>
    <definedName name="_xlnm.Print_Area" localSheetId="4">'1.1'!$A$1:$D$47</definedName>
    <definedName name="_xlnm.Print_Area" localSheetId="0">'Read me first '!$B$1:$C$19</definedName>
    <definedName name="_xlnm.Print_Area" localSheetId="3">Summary!$A$1:$I$28</definedName>
    <definedName name="_xlnm.Print_Area" localSheetId="2">'User Data'!$A$1:$B$8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2" l="1"/>
  <c r="H14" i="22"/>
  <c r="D19" i="50"/>
  <c r="I14" i="22" s="1"/>
  <c r="H15" i="22" l="1"/>
  <c r="D41" i="49"/>
  <c r="I8" i="22" s="1"/>
  <c r="D20" i="42" l="1"/>
  <c r="D20" i="23"/>
  <c r="D45" i="1"/>
  <c r="D17" i="45" l="1"/>
  <c r="I15" i="22" s="1"/>
  <c r="H4" i="22" l="1"/>
  <c r="H7" i="22" l="1"/>
  <c r="D26" i="44" l="1"/>
  <c r="I7" i="22" s="1"/>
  <c r="H16" i="22" l="1"/>
  <c r="H9" i="22"/>
  <c r="H6" i="22"/>
  <c r="I16" i="22"/>
  <c r="D28" i="41"/>
  <c r="I6" i="22" s="1"/>
  <c r="D23" i="32" l="1"/>
  <c r="D16" i="33"/>
  <c r="H22" i="22" l="1"/>
  <c r="H13" i="22"/>
  <c r="H12" i="22"/>
  <c r="D26" i="39" l="1"/>
  <c r="I22" i="22" s="1"/>
  <c r="D22" i="38"/>
  <c r="I13" i="22" s="1"/>
  <c r="D28" i="37"/>
  <c r="I12" i="22" s="1"/>
  <c r="D16" i="36" l="1"/>
  <c r="I28" i="22" s="1"/>
  <c r="D16" i="35"/>
  <c r="I27" i="22" s="1"/>
  <c r="D26" i="34"/>
  <c r="I26" i="22" s="1"/>
  <c r="D22" i="31"/>
  <c r="I23" i="22" s="1"/>
  <c r="D19" i="30"/>
  <c r="I21" i="22" s="1"/>
  <c r="D26" i="29"/>
  <c r="I20" i="22" s="1"/>
  <c r="D21" i="28"/>
  <c r="I19" i="22" s="1"/>
  <c r="D25" i="27"/>
  <c r="I18" i="22" s="1"/>
  <c r="D23" i="26"/>
  <c r="I17" i="22" s="1"/>
  <c r="D22" i="25"/>
  <c r="I11" i="22" s="1"/>
  <c r="D24" i="24"/>
  <c r="I10" i="22" s="1"/>
  <c r="H28" i="22"/>
  <c r="H27" i="22"/>
  <c r="H26" i="22"/>
  <c r="H25" i="22"/>
  <c r="H24" i="22"/>
  <c r="H23" i="22"/>
  <c r="H21" i="22"/>
  <c r="H20" i="22"/>
  <c r="H19" i="22"/>
  <c r="H18" i="22"/>
  <c r="H17" i="22"/>
  <c r="H11" i="22"/>
  <c r="H10" i="22"/>
  <c r="I4" i="22"/>
  <c r="H5" i="22"/>
  <c r="I9" i="22"/>
  <c r="D25" i="3"/>
  <c r="I5" i="22" s="1"/>
</calcChain>
</file>

<file path=xl/sharedStrings.xml><?xml version="1.0" encoding="utf-8"?>
<sst xmlns="http://schemas.openxmlformats.org/spreadsheetml/2006/main" count="1065" uniqueCount="467">
  <si>
    <t>PURPOSE</t>
  </si>
  <si>
    <t>INSTRUCTIONS</t>
  </si>
  <si>
    <r>
      <rPr>
        <b/>
        <sz val="10"/>
        <color theme="1"/>
        <rFont val="Arial"/>
        <family val="2"/>
      </rPr>
      <t>Important note:</t>
    </r>
    <r>
      <rPr>
        <sz val="10"/>
        <color theme="1"/>
        <rFont val="Arial"/>
        <family val="2"/>
      </rPr>
      <t xml:space="preserve"> User data contained within this assessment workbook is considered </t>
    </r>
    <r>
      <rPr>
        <u/>
        <sz val="10"/>
        <color theme="1"/>
        <rFont val="Arial"/>
        <family val="2"/>
      </rPr>
      <t>sensitive</t>
    </r>
    <r>
      <rPr>
        <sz val="10"/>
        <color theme="1"/>
        <rFont val="Arial"/>
        <family val="2"/>
      </rPr>
      <t xml:space="preserve"> and must </t>
    </r>
    <r>
      <rPr>
        <u/>
        <sz val="10"/>
        <color theme="1"/>
        <rFont val="Arial"/>
        <family val="2"/>
      </rPr>
      <t>not be disclosed</t>
    </r>
    <r>
      <rPr>
        <sz val="10"/>
        <color theme="1"/>
        <rFont val="Arial"/>
        <family val="2"/>
      </rPr>
      <t xml:space="preserve"> to any party without express written consent from the SWIFT user.</t>
    </r>
  </si>
  <si>
    <t>Assessors should use a risk based approach to assess the user’s compliance with the CSP control; i.e. assess the security goal, regardless  of the implementation method used (be it the suggested guidelines or alternatives).
As such, to comply with a CSP security control, users must implement a solution that: (i) Meets the stated control objective, (ii)  Addresses the risks and (iii) Covers the documented in-scope components relevant for the user’s architecture.
The control statement is a suggested means to fulfil the control objective and the implementation guidelines are common methods for implementing the control. Even if guidelines can be a good way to start an assessment, the implementation guidance section of each control in the CSCF should never be considered as an "audit checklist"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t>
  </si>
  <si>
    <t xml:space="preserve">SWIFT highly recommends that users also include the CSCF advisory controls in the independent assessment; some of the advisory may be turned mandatory in the next version of the CSCF </t>
  </si>
  <si>
    <t>Begin the assessment process by thoroughly reviewing the Customer Security Controls Framework (CSCF), assessment templates, and all other SWIFT-provided assessment guidance.
Access to documentation through your swift.com user account (your company being registered with SWIFT), or documentation to be provided by the SWIFT user if your company is not registered and you do not have an a swift.Com user account.</t>
  </si>
  <si>
    <t>Access the Attestation Support page</t>
  </si>
  <si>
    <t>Reference the “User Data” tab and populate all applicable cells with the information requested. Note that all individual assessors involved in executing the end-to-end assessment process should be included in the “Assessor Name(s)” field. Additionally, names provided in the “Assessor Name(s)” field should be accompanied by the applicable professional certification(s) held by each individual assessor.</t>
  </si>
  <si>
    <r>
      <t xml:space="preserve">Depending on the architecture type of the community member in question, complete the following coloured tabs that represent the control data contained within the CSCF.
• Architecture A1 and A2 : </t>
    </r>
    <r>
      <rPr>
        <b/>
        <sz val="10"/>
        <color rgb="FF0070C0"/>
        <rFont val="Arial"/>
        <family val="2"/>
      </rPr>
      <t>BLUE</t>
    </r>
    <r>
      <rPr>
        <sz val="10"/>
        <rFont val="Arial"/>
        <family val="2"/>
      </rPr>
      <t xml:space="preserve"> + </t>
    </r>
    <r>
      <rPr>
        <sz val="10"/>
        <color rgb="FF00B050"/>
        <rFont val="Arial"/>
        <family val="2"/>
      </rPr>
      <t>GREEN</t>
    </r>
    <r>
      <rPr>
        <sz val="10"/>
        <rFont val="Arial"/>
        <family val="2"/>
      </rPr>
      <t xml:space="preserve"> + </t>
    </r>
    <r>
      <rPr>
        <b/>
        <sz val="10"/>
        <color rgb="FFC00000"/>
        <rFont val="Arial"/>
        <family val="2"/>
      </rPr>
      <t>RED</t>
    </r>
    <r>
      <rPr>
        <sz val="10"/>
        <rFont val="Arial"/>
        <family val="2"/>
      </rPr>
      <t xml:space="preserve"> + </t>
    </r>
    <r>
      <rPr>
        <b/>
        <sz val="10"/>
        <color rgb="FFFFC000"/>
        <rFont val="Arial"/>
        <family val="2"/>
      </rPr>
      <t>YELLOW</t>
    </r>
    <r>
      <rPr>
        <sz val="10"/>
        <rFont val="Arial"/>
        <family val="2"/>
      </rPr>
      <t xml:space="preserve"> tabs
• Architecture A3: </t>
    </r>
    <r>
      <rPr>
        <b/>
        <sz val="10"/>
        <color rgb="FF0070C0"/>
        <rFont val="Arial"/>
        <family val="2"/>
      </rPr>
      <t>BLUE</t>
    </r>
    <r>
      <rPr>
        <sz val="10"/>
        <rFont val="Arial"/>
        <family val="2"/>
      </rPr>
      <t xml:space="preserve"> + </t>
    </r>
    <r>
      <rPr>
        <sz val="10"/>
        <color rgb="FF00B050"/>
        <rFont val="Arial"/>
        <family val="2"/>
      </rPr>
      <t>GREEN</t>
    </r>
    <r>
      <rPr>
        <sz val="10"/>
        <rFont val="Arial"/>
        <family val="2"/>
      </rPr>
      <t xml:space="preserve"> + </t>
    </r>
    <r>
      <rPr>
        <b/>
        <sz val="10"/>
        <color rgb="FFC00000"/>
        <rFont val="Arial"/>
        <family val="2"/>
      </rPr>
      <t>RED</t>
    </r>
    <r>
      <rPr>
        <sz val="10"/>
        <rFont val="Arial"/>
        <family val="2"/>
      </rPr>
      <t xml:space="preserve">   tabs
• Architecture A4: </t>
    </r>
    <r>
      <rPr>
        <b/>
        <sz val="10"/>
        <color rgb="FF0070C0"/>
        <rFont val="Arial"/>
        <family val="2"/>
      </rPr>
      <t>BLUE</t>
    </r>
    <r>
      <rPr>
        <sz val="10"/>
        <rFont val="Arial"/>
        <family val="2"/>
      </rPr>
      <t xml:space="preserve"> + </t>
    </r>
    <r>
      <rPr>
        <sz val="10"/>
        <color rgb="FF00B050"/>
        <rFont val="Arial"/>
        <family val="2"/>
      </rPr>
      <t>GREEN</t>
    </r>
    <r>
      <rPr>
        <sz val="10"/>
        <rFont val="Arial"/>
        <family val="2"/>
      </rPr>
      <t xml:space="preserve">  tabs 
• Architecture B: </t>
    </r>
    <r>
      <rPr>
        <b/>
        <sz val="10"/>
        <color rgb="FF0070C0"/>
        <rFont val="Arial"/>
        <family val="2"/>
      </rPr>
      <t>BLUE</t>
    </r>
    <r>
      <rPr>
        <sz val="10"/>
        <rFont val="Arial"/>
        <family val="2"/>
      </rPr>
      <t xml:space="preserve">  tabs </t>
    </r>
  </si>
  <si>
    <t>For each applicable tab defined above, review the control objective, in-scope components, risk drivers, control statement, and control context. Assessors should reference the full text of the CSCF document for a full listing of all control and guideline-level details. This guidance applies to the internal or external assessors to assess the existing/implemented controls and their suitability/effectiveness.</t>
  </si>
  <si>
    <t xml:space="preserve">The assessment templates directly correlate to the CSCF and highlight which CSCF controls are applicable to the user’s architecture type. For each applicable control, the relevant template sets out the control objective, any underpinning key principle(s) and SWIFT’s guidance with respect to their implementation. By use of the template, the assessor can then confirm whether those that are applicable to the user are complied with, either via SWIFT’s implementation guidance or, for typically large or complex institutions, via an alternative implementation method. (Specifically, for CSCF control 1.1,  the key principle 1.1.C2  may not be applicable).  
Finally, some CSCF controls although relevant for the user’s SWIFT architecture type may, in rare cases, not be applicable depending upon the user’s specific local infrastructure.  In such cases, they should be assessed as 'Not Applicable'.  An example of this would be Control 6.2 (Anti-Virus) which, whilst likely to be applicable in most environments would is not likely to be applicable in a Linux environment. - please refer to the KYC-SA baseline for the identification of such controls. </t>
  </si>
  <si>
    <t>For each Implementation Guideline in the "Assessments Results" section, indicate whether or not the user has fulfilled the guideline statement using the appropriate drop-down list(s) available at the right side of the worksheet. Note that the only available responses are “yes”, “no”, and “N/A”. Responses marked “N/A” are not detrimental to the overall disposition of any control.</t>
  </si>
  <si>
    <t>Support the above-mentioned finding by populating the corresponding cell(s) marked "&lt;Observations &amp; response justification - address all subordinate implementation details as documented in the CSCF&gt;" for each guideline. As noted, assessors should address all subordinate details documented for each Implementation Guideline as provided in the CSCF.</t>
  </si>
  <si>
    <t>For each guideline in the "Assessments Results" section, indicate whether or not the user has used an alternative implementation means to fill the control requirement(s) of said guideline. Use the appropriate drop-down list(s) available at the right side of the worksheet. Note that the use of alternative implementation means is not detrimental to the overall conclusion of the control.</t>
  </si>
  <si>
    <t>For any control where alternative implementation means were used to fill the control requirement(s), provide a full explanation of the alternative means utilised in the corresponding cells marked "&lt;Alternative guideline implementation approach and details&gt;". Note that the worksheet will grey out these cells for any guidelines that have been addressed using the standard implementation method. Responses provided should be comprehensive and detail how all applicable risks are addressed by the user's custom implementation.</t>
  </si>
  <si>
    <t>When the above steps have been completed, the worksheet will automatically mark the control as either "In Place" or "Not in Place" depending on the input provided by the assessor in the "Assessments Results" section. Do not attempt to manually alter any fields that are automatically populated (non-modifiable cells are password protected).</t>
  </si>
  <si>
    <t>The workbook will automatically display a summary of the dispositions of all controls in the "Summary" tab.</t>
  </si>
  <si>
    <r>
      <t xml:space="preserve">When the assessment is complete, assessors should print the completion letter provided in the "Completion Letter" </t>
    </r>
    <r>
      <rPr>
        <b/>
        <sz val="10"/>
        <rFont val="Arial"/>
        <family val="2"/>
      </rPr>
      <t>WORD</t>
    </r>
    <r>
      <rPr>
        <sz val="10"/>
        <rFont val="Arial"/>
        <family val="2"/>
      </rPr>
      <t xml:space="preserve"> document posted in the same ZIP file as this Excel Sheet, as described in the Independent Assessment Framework (chapter "7.1 Assessment Report and Completion Letter"). Then manually sign the letter, and provide it to the user for whom the assessment was performed.</t>
    </r>
  </si>
  <si>
    <t>When the assessment is complete, assessors must provided the Swift user with an assessment report as described in the Independent Assessment Framework (chapter "7.1 Assessment Report and Completion Letter"). A CSP assessment report template is available on the Swift Knowledge Center.</t>
  </si>
  <si>
    <t>Note in case of reliance on conclusion of previous assessment cycle, controls's conclusion that have been relied on previous assessment should be marked as such in the &lt;Observations &amp; response justification&gt; boxes of those controls.(as described in the Independent Assessment Framework, chapter "3.4 Reliance on the Previous Assessment’s Conclusions")</t>
  </si>
  <si>
    <t>Date</t>
  </si>
  <si>
    <t xml:space="preserve">Change </t>
  </si>
  <si>
    <t>Removed Completion letter tab to make it a standalone word document</t>
  </si>
  <si>
    <t xml:space="preserve">Inserted a revision record sheet </t>
  </si>
  <si>
    <t>Inserted a clause on each control, before the Implementation guidelines to stress on the risk based approach to be used by assessors</t>
  </si>
  <si>
    <t>Alignment with v2021</t>
  </si>
  <si>
    <t xml:space="preserve">correction in tab colouring, and A4 inclusion and references to the completion letter </t>
  </si>
  <si>
    <t>Correct 1.1. remove section on internet access - now moved to 1.4</t>
  </si>
  <si>
    <t>Correct summary sheet to deselect 2.1 for A4</t>
  </si>
  <si>
    <t>updated for the CSCF v2022</t>
  </si>
  <si>
    <t>Corrected formulas to show 'Not Applicable' in the sheet Summary for controls that are not applicable for architecture A4</t>
  </si>
  <si>
    <t>Updated the in scope architectures for CTRL 2.10. A4 and B were incorrectly included in the scope.</t>
  </si>
  <si>
    <t>Update with v2023</t>
  </si>
  <si>
    <t>Update with v2024</t>
  </si>
  <si>
    <t>USER BACKGROUND DATA SHEET</t>
  </si>
  <si>
    <t>Customer Name</t>
  </si>
  <si>
    <t>BIC</t>
  </si>
  <si>
    <t>Architecture Type</t>
  </si>
  <si>
    <t>Assessment Start Date</t>
  </si>
  <si>
    <t>Assessment End Date</t>
  </si>
  <si>
    <t>CSCF Version</t>
  </si>
  <si>
    <t>Assessor Firm</t>
  </si>
  <si>
    <t>Lead Assessor Name</t>
  </si>
  <si>
    <t>Lead Assessor Title</t>
  </si>
  <si>
    <t>Assessor Name(s)</t>
  </si>
  <si>
    <t>MANDATORY CONTROLS SUMMARY</t>
  </si>
  <si>
    <t>Control Objective</t>
  </si>
  <si>
    <t>Title</t>
  </si>
  <si>
    <t>Architecture Applicability</t>
  </si>
  <si>
    <t>Implementation Means</t>
  </si>
  <si>
    <t>Control Disposition</t>
  </si>
  <si>
    <t>A1</t>
  </si>
  <si>
    <t>A2</t>
  </si>
  <si>
    <t>A3</t>
  </si>
  <si>
    <t>A4</t>
  </si>
  <si>
    <t>B</t>
  </si>
  <si>
    <t>SWIFT Environment Protection</t>
  </si>
  <si>
    <t>X</t>
  </si>
  <si>
    <t>Operating System Privileged Account Control</t>
  </si>
  <si>
    <t>A</t>
  </si>
  <si>
    <t>Virtualisation or Cloud Platform Protection</t>
  </si>
  <si>
    <t>Restriction of Internet Access</t>
  </si>
  <si>
    <t>Customer Environment Protection</t>
  </si>
  <si>
    <t>Internal Data Flow Security</t>
  </si>
  <si>
    <t>Security Updates</t>
  </si>
  <si>
    <t>System Hardening</t>
  </si>
  <si>
    <t>Operator Session Confidentiality and Integrity</t>
  </si>
  <si>
    <t>Vulnerability Scanning</t>
  </si>
  <si>
    <t>Outsourced Critical Activity Protection</t>
  </si>
  <si>
    <t>Transaction Business Controls</t>
  </si>
  <si>
    <t>2.10</t>
  </si>
  <si>
    <t>Application Hardening</t>
  </si>
  <si>
    <t>Physical Security</t>
  </si>
  <si>
    <t>Password Policy</t>
  </si>
  <si>
    <t>Multi-Factor Authentication</t>
  </si>
  <si>
    <t>Logical Access Control</t>
  </si>
  <si>
    <t>Token Management</t>
  </si>
  <si>
    <t>Physical and Logical Password Storage Protection</t>
  </si>
  <si>
    <t>Malware Protection</t>
  </si>
  <si>
    <t>Software Integrity</t>
  </si>
  <si>
    <t>Database Integrity</t>
  </si>
  <si>
    <t>Logging and Monitoring</t>
  </si>
  <si>
    <t>Cyber Incident Response Planning</t>
  </si>
  <si>
    <t>Security Training and Awareness</t>
  </si>
  <si>
    <t>* Important note : In KYC-SA application, a compliant control (whatever by means of alternative implementation or using the Swift implementation guidelines) 
will be declared as "I comply as per Control definition"</t>
  </si>
  <si>
    <t>Swift ENVIRONMENT PROTECTION</t>
  </si>
  <si>
    <t>CONTROL INFORMATION</t>
  </si>
  <si>
    <r>
      <rPr>
        <b/>
        <sz val="12"/>
        <color theme="1"/>
        <rFont val="Arial"/>
        <family val="2"/>
      </rPr>
      <t>CONTROL OBJECTIVE</t>
    </r>
    <r>
      <rPr>
        <sz val="10"/>
        <color theme="1"/>
        <rFont val="Arial"/>
        <family val="2"/>
      </rPr>
      <t xml:space="preserve">
Ensure the protection of the user's Swift infrastructure from potentially compromised elements of the general IT environment and external environment.</t>
    </r>
  </si>
  <si>
    <t>IN-SCOPE COMPONENTS</t>
  </si>
  <si>
    <t>RISK DRIVERS</t>
  </si>
  <si>
    <t>• Messaging interface</t>
  </si>
  <si>
    <t>• Compromise of enterprise authentication system</t>
  </si>
  <si>
    <t>• Communication interface</t>
  </si>
  <si>
    <t>• Compromise of user credentials</t>
  </si>
  <si>
    <t>• GUI</t>
  </si>
  <si>
    <t>• Credential replay</t>
  </si>
  <si>
    <t>• SwiftNet Link</t>
  </si>
  <si>
    <t>• Exposure to internet-based attacks</t>
  </si>
  <si>
    <t>• Hardware Security Module (HSM)</t>
  </si>
  <si>
    <t>• Unauthorized access</t>
  </si>
  <si>
    <t>• Swift or customer connector</t>
  </si>
  <si>
    <t>• Jump server</t>
  </si>
  <si>
    <t>• Dedicated and general-purpose operator PCs</t>
  </si>
  <si>
    <r>
      <rPr>
        <b/>
        <sz val="12"/>
        <color theme="1"/>
        <rFont val="Arial"/>
        <family val="2"/>
      </rPr>
      <t>CONTROL STATEMENT</t>
    </r>
    <r>
      <rPr>
        <sz val="10"/>
        <color theme="1"/>
        <rFont val="Arial"/>
        <family val="2"/>
      </rPr>
      <t xml:space="preserve">
A separated secure zone safeguards the user's Swift infrastructure from compromises and attacks on the broader enterprise and external environments.</t>
    </r>
  </si>
  <si>
    <r>
      <rPr>
        <b/>
        <sz val="12"/>
        <color theme="1"/>
        <rFont val="Arial"/>
        <family val="2"/>
      </rPr>
      <t>CONTROL CONTEXT</t>
    </r>
    <r>
      <rPr>
        <sz val="10"/>
        <color theme="1"/>
        <rFont val="Arial"/>
        <family val="2"/>
      </rPr>
      <t xml:space="preserve">
Segmentation between the user's Swift infrastructure and its larger enterprise network reduces the attack surface and has shown to be an effective way to defend against cyber attacks that commonly involve compromise of the general enterprise IT environment. Effective segmentation will include network-level separation, access restrictions, and connectivity restrictions.</t>
    </r>
  </si>
  <si>
    <t>ASSESSMENT RESULTS</t>
  </si>
  <si>
    <t>Implementation Guideline-Level Detail</t>
  </si>
  <si>
    <r>
      <t>Assessors should use a</t>
    </r>
    <r>
      <rPr>
        <b/>
        <u/>
        <sz val="11"/>
        <rFont val="Arial"/>
        <family val="2"/>
      </rPr>
      <t xml:space="preserve"> risk based</t>
    </r>
    <r>
      <rPr>
        <b/>
        <sz val="11"/>
        <rFont val="Arial"/>
        <family val="2"/>
      </rPr>
      <t xml:space="preserve">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
    </r>
    <r>
      <rPr>
        <b/>
        <u/>
        <sz val="11"/>
        <rFont val="Arial"/>
        <family val="2"/>
      </rPr>
      <t>the implementation guidance section should never be considered as an "audit checklist"</t>
    </r>
    <r>
      <rPr>
        <b/>
        <sz val="11"/>
        <rFont val="Arial"/>
        <family val="2"/>
      </rPr>
      <t xml:space="preserve">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suggested guidelines or as per alternatives).
</t>
    </r>
  </si>
  <si>
    <t>Guideline</t>
  </si>
  <si>
    <t>a)</t>
  </si>
  <si>
    <t>Has the user adequately defined and documented design goals for implementing environment separation?</t>
  </si>
  <si>
    <t>Overall design goals for implementing environment separation</t>
  </si>
  <si>
    <t>&lt;Observations &amp; response justification - address all subordinate implementation details as documented in the CSCF&gt;</t>
  </si>
  <si>
    <t>Has the user employed an alternative implementation approach?</t>
  </si>
  <si>
    <t>&lt;Alternative guideline implementation approach and details&gt;</t>
  </si>
  <si>
    <t>b)</t>
  </si>
  <si>
    <t>Has the user adequately defined and implemented the scope for the secure zone?</t>
  </si>
  <si>
    <t>Scope of the secure zone</t>
  </si>
  <si>
    <t>c)</t>
  </si>
  <si>
    <t>Has the user adequately implemented boundary protections for the secure zone?</t>
  </si>
  <si>
    <t>Protection of the secure zone - Boundary protection</t>
  </si>
  <si>
    <t>d.1)</t>
  </si>
  <si>
    <t>Has the user adequately controlled local operator (end user and administrator) access to the secure zone?</t>
  </si>
  <si>
    <t>Access to the secure zone systems - Local operator access</t>
  </si>
  <si>
    <t>d.2)</t>
  </si>
  <si>
    <t>Has the user adequately controlled remote operator (teleworker, "on-call" staff, remote administrator) access to the secure zone?</t>
  </si>
  <si>
    <t>Access to the secure zone systems - Remote operator access</t>
  </si>
  <si>
    <t>e)</t>
  </si>
  <si>
    <t>Has the user adequately separated the secure zone from general enterprise IT services?</t>
  </si>
  <si>
    <t>N/A</t>
  </si>
  <si>
    <t>Separation from general enterprise IT services</t>
  </si>
  <si>
    <t>Summary</t>
  </si>
  <si>
    <t>Overall Control Disposition</t>
  </si>
  <si>
    <t>Recommendations</t>
  </si>
  <si>
    <t>&lt;Recommendations for security enhancements /  improvements&gt;</t>
  </si>
  <si>
    <r>
      <t>1.2</t>
    </r>
    <r>
      <rPr>
        <b/>
        <sz val="11"/>
        <rFont val="Arial"/>
        <family val="2"/>
      </rPr>
      <t xml:space="preserve"> (Advisory for B)</t>
    </r>
  </si>
  <si>
    <t>OPERATING SYSTEM PRIVILEGED ACCOUNT CONTROL</t>
  </si>
  <si>
    <r>
      <rPr>
        <b/>
        <sz val="12"/>
        <color theme="1"/>
        <rFont val="Arial"/>
        <family val="2"/>
      </rPr>
      <t>CONTROL OBJECTIVE</t>
    </r>
    <r>
      <rPr>
        <sz val="10"/>
        <color theme="1"/>
        <rFont val="Arial"/>
        <family val="2"/>
      </rPr>
      <t xml:space="preserve">
Restrict and control the allocation and usage of administrator-level operating system accounts.</t>
    </r>
  </si>
  <si>
    <t>Administrator-level accounts defined on the following components:</t>
  </si>
  <si>
    <t>• Deletion of logs and forensic evidence</t>
  </si>
  <si>
    <t>• Systems or virtual machines (VMs) hosting a Swift-related component (including interface, GUI, Swift or customer connector, jump server)</t>
  </si>
  <si>
    <t>• Excess privilege or access</t>
  </si>
  <si>
    <t>• dedicated operator PCs</t>
  </si>
  <si>
    <t>• Lack of traceability</t>
  </si>
  <si>
    <t>• network devices protecting the secure zone</t>
  </si>
  <si>
    <t>• Unauthorized system changes</t>
  </si>
  <si>
    <t>• on-premises or remote (that is hosted and/or operated by a third party) virtualisation or cloud platform that hosts Swift-related VM’s</t>
  </si>
  <si>
    <t xml:space="preserve">• HSM management misused </t>
  </si>
  <si>
    <t>• New HSM</t>
  </si>
  <si>
    <t>• [Advisory: bridging servers (such as middleware or file transfer servers other than customer connectors) used for and guardian of the secure data exchange between back-office and Swift-related components]</t>
  </si>
  <si>
    <t>• [Advisory: General-purpose operator PC]</t>
  </si>
  <si>
    <r>
      <rPr>
        <b/>
        <sz val="12"/>
        <color theme="1"/>
        <rFont val="Arial"/>
        <family val="2"/>
      </rPr>
      <t>CONTROL STATEMENT</t>
    </r>
    <r>
      <rPr>
        <sz val="10"/>
        <color theme="1"/>
        <rFont val="Arial"/>
        <family val="2"/>
      </rPr>
      <t xml:space="preserve">
Access to administrator-level operating system accounts is restricted to the maximum extent possible. Usage is controlled, monitored, and only permitted for relevant activities such as software installation and configuration, maintenance, and emergency activities. At all other times, an account with least privilege access is used.</t>
    </r>
  </si>
  <si>
    <r>
      <rPr>
        <b/>
        <sz val="12"/>
        <color theme="1"/>
        <rFont val="Arial"/>
        <family val="2"/>
      </rPr>
      <t>CONTROL CONTEXT</t>
    </r>
    <r>
      <rPr>
        <sz val="10"/>
        <color theme="1"/>
        <rFont val="Arial"/>
        <family val="2"/>
      </rPr>
      <t xml:space="preserve">
Tightly protecting administrator-level accounts within the operating system reduces the opportunity for an attacker to use the privileges of the account as part of an attack (for example, executing commands, deleting evidence).</t>
    </r>
  </si>
  <si>
    <t>Has the user adequately restricted and controlled the allocation and usage of administrator-level operating system accounts?</t>
  </si>
  <si>
    <t>VIRTUALISATION OR CLOUD PLATFORM PROTECTION</t>
  </si>
  <si>
    <r>
      <rPr>
        <b/>
        <sz val="12"/>
        <color theme="1"/>
        <rFont val="Arial"/>
        <family val="2"/>
      </rPr>
      <t>CONTROL OBJECTIVE</t>
    </r>
    <r>
      <rPr>
        <sz val="10"/>
        <color theme="1"/>
        <rFont val="Arial"/>
        <family val="2"/>
      </rPr>
      <t xml:space="preserve">
Secure the virtualisation or cloud platform and virtual machines (VMs) that host Swift-related components to the same level as physical systems</t>
    </r>
  </si>
  <si>
    <t>On-premises or remote (that is hosted or operated by a third party, such a a cloud provider, or both) virtualisation or cloud platform and VM's used to host any of the below Swift related components:</t>
  </si>
  <si>
    <t xml:space="preserve">• Unauthorised access </t>
  </si>
  <si>
    <t>• Uncontrolled proliferation of systems and data</t>
  </si>
  <si>
    <t>• Swift and Customer connector</t>
  </si>
  <si>
    <t>• Jump Server</t>
  </si>
  <si>
    <t>• Firewalls</t>
  </si>
  <si>
    <t>• Alliance Connect Virtual VPN instance</t>
  </si>
  <si>
    <r>
      <rPr>
        <b/>
        <sz val="12"/>
        <color theme="1"/>
        <rFont val="Arial"/>
        <family val="2"/>
      </rPr>
      <t>CONTROL STATEMENT</t>
    </r>
    <r>
      <rPr>
        <sz val="10"/>
        <color theme="1"/>
        <rFont val="Arial"/>
        <family val="2"/>
      </rPr>
      <t xml:space="preserve">
Secure virtualisation or cloud platform, virtualised machines and supporting virtual infrastructure (such as e.g. firewalls) to the same level as physical systems.</t>
    </r>
  </si>
  <si>
    <t>Has the user adequately secured virtualisation platforms and virtual machines (VM’s) hosting Swift related components to the same level as physical systems?</t>
  </si>
  <si>
    <t xml:space="preserve">RESTRICTION OF INTERNET ACCESS </t>
  </si>
  <si>
    <r>
      <rPr>
        <b/>
        <sz val="12"/>
        <color theme="1"/>
        <rFont val="Arial"/>
        <family val="2"/>
      </rPr>
      <t>CONTROL OBJECTIVE</t>
    </r>
    <r>
      <rPr>
        <sz val="10"/>
        <color theme="1"/>
        <rFont val="Arial"/>
        <family val="2"/>
      </rPr>
      <t xml:space="preserve">
Control/Protect Internet access from operator PCs and systems within the secure zone</t>
    </r>
  </si>
  <si>
    <t>• Swift and customer connector</t>
  </si>
  <si>
    <t xml:space="preserve">• [Advisory: on-premises or remote (that is hosted and/or operated by a third party) virtualisation or cloud platform and their management PCs] </t>
  </si>
  <si>
    <r>
      <rPr>
        <b/>
        <sz val="12"/>
        <color theme="1"/>
        <rFont val="Arial"/>
        <family val="2"/>
      </rPr>
      <t>CONTROL STATEMENT</t>
    </r>
    <r>
      <rPr>
        <sz val="10"/>
        <color theme="1"/>
        <rFont val="Arial"/>
        <family val="2"/>
      </rPr>
      <t xml:space="preserve">
All general-purpose and dedicated operator PCs as well as systems within the secure zone have controlled direct internet access in line with business</t>
    </r>
  </si>
  <si>
    <t>Has the user adequately restricted internet access from the secure zone and from general-purpose operator PCs (and from other components like middleware servers or the virtualisation platform - Advisory) in line with the business needs?</t>
  </si>
  <si>
    <t>1.5</t>
  </si>
  <si>
    <t>CUSTOMER ENVIRONMENT PROTECTION</t>
  </si>
  <si>
    <r>
      <rPr>
        <b/>
        <sz val="12"/>
        <color theme="1"/>
        <rFont val="Arial"/>
        <family val="2"/>
      </rPr>
      <t>CONTROL OBJECTIVE</t>
    </r>
    <r>
      <rPr>
        <sz val="10"/>
        <color theme="1"/>
        <rFont val="Arial"/>
        <family val="2"/>
      </rPr>
      <t xml:space="preserve">
Ensure the protection of the customer’s connectivity infrastructure from external environment and potentially compromised elements of the general IT environment.</t>
    </r>
  </si>
  <si>
    <t>• Customer connector</t>
  </si>
  <si>
    <t>• HSM when used with customer connector</t>
  </si>
  <si>
    <r>
      <rPr>
        <b/>
        <sz val="12"/>
        <color theme="1"/>
        <rFont val="Arial"/>
        <family val="2"/>
      </rPr>
      <t>CONTROL STATEMENT</t>
    </r>
    <r>
      <rPr>
        <sz val="10"/>
        <color theme="1"/>
        <rFont val="Arial"/>
        <family val="2"/>
      </rPr>
      <t xml:space="preserve">
A separated secure zone safeguards the customer's infrastructure used for external connectivity from external environments and compromises or attacks on the broader enterprise environment.</t>
    </r>
  </si>
  <si>
    <r>
      <rPr>
        <b/>
        <sz val="12"/>
        <color theme="1"/>
        <rFont val="Arial"/>
        <family val="2"/>
      </rPr>
      <t>CONTROL CONTEXT</t>
    </r>
    <r>
      <rPr>
        <sz val="10"/>
        <color theme="1"/>
        <rFont val="Arial"/>
        <family val="2"/>
      </rPr>
      <t xml:space="preserve">
Segmentation between the customer's connectivity infrastructure and its larger enterprise network reduces the attack surface and has shown to be an effective way to defend against cyber attacks that commonly involve compromise of the general enterprise IT environment. Effective segmentation will include network-level separation, access restrictions, and connectivity restrictions.</t>
    </r>
  </si>
  <si>
    <t>Access to the secure zone systems - Local operator (end user and administrator) access</t>
  </si>
  <si>
    <t>INTERNAL DATA FLOW SECURITY</t>
  </si>
  <si>
    <r>
      <rPr>
        <b/>
        <sz val="12"/>
        <color theme="1"/>
        <rFont val="Arial"/>
        <family val="2"/>
      </rPr>
      <t>CONTROL OBJECTIVE</t>
    </r>
    <r>
      <rPr>
        <sz val="10"/>
        <color theme="1"/>
        <rFont val="Arial"/>
        <family val="2"/>
      </rPr>
      <t xml:space="preserve">
Ensure the confidentiality, integrity, and authenticity of application data flows between user's Swift-related Components.</t>
    </r>
  </si>
  <si>
    <t>• Loss of sensitive data confidentiality</t>
  </si>
  <si>
    <t>• On-premises or remote (hosted and/or operated by a third party, or both) user's Swift infrastructure and related components (including new HSM)</t>
  </si>
  <si>
    <t>• Loss of sensitive data integrity</t>
  </si>
  <si>
    <t>• Unauthenticated system traffic</t>
  </si>
  <si>
    <t>• Unauthorised access</t>
  </si>
  <si>
    <r>
      <rPr>
        <b/>
        <sz val="12"/>
        <color theme="1"/>
        <rFont val="Arial"/>
        <family val="2"/>
      </rPr>
      <t>CONTROL STATEMENT</t>
    </r>
    <r>
      <rPr>
        <sz val="10"/>
        <color theme="1"/>
        <rFont val="Arial"/>
        <family val="2"/>
      </rPr>
      <t xml:space="preserve">
Confidentiality, integrity, and authentication mechanisms are implemented to protect Swift-related component-to-component or system-to-system data flows.</t>
    </r>
  </si>
  <si>
    <r>
      <rPr>
        <b/>
        <sz val="12"/>
        <color theme="1"/>
        <rFont val="Arial"/>
        <family val="2"/>
      </rPr>
      <t>CONTROL CONTEXT</t>
    </r>
    <r>
      <rPr>
        <sz val="10"/>
        <color theme="1"/>
        <rFont val="Arial"/>
        <family val="2"/>
      </rPr>
      <t xml:space="preserve">
The protection of internal data flows safeguards against unintended disclosure, modification, and access of the data while in transit</t>
    </r>
  </si>
  <si>
    <t>Has the user ensured the confidentiality, integrity, and authenticity of data flows between local Swift-related applications ?</t>
  </si>
  <si>
    <t>SECURITY UPDATES</t>
  </si>
  <si>
    <r>
      <rPr>
        <b/>
        <sz val="12"/>
        <color theme="1"/>
        <rFont val="Arial"/>
        <family val="2"/>
      </rPr>
      <t>CONTROL OBJECTIVE</t>
    </r>
    <r>
      <rPr>
        <sz val="10"/>
        <color theme="1"/>
        <rFont val="Arial"/>
        <family val="2"/>
      </rPr>
      <t xml:space="preserve">
Minimize the occurrence of known technical vulnerabilities on operator PCs and within the user's Swift infrastructure by ensuring vendor support, applying mandatory software updates, and applying timely security updates aligned to the assessed risk.</t>
    </r>
  </si>
  <si>
    <t>Hardware and all software running on the following systems, virtual machine, hosts, servers or devices:</t>
  </si>
  <si>
    <t>• Exploitation of known security vulnerabilities</t>
  </si>
  <si>
    <t>• physical systems or virtual machines (VMs) hosting a Swift-related component (including interface, GUI, Swift or customer connector)</t>
  </si>
  <si>
    <t>• Dedicated and general-purpose operator PC</t>
  </si>
  <si>
    <t>• jump server</t>
  </si>
  <si>
    <t>• On-premises or remote (that is hosted and/or operated by a third party) virtualisation or cloud platform hosting Swift-related VM’s  and their management PCs</t>
  </si>
  <si>
    <r>
      <rPr>
        <b/>
        <sz val="12"/>
        <color theme="1"/>
        <rFont val="Arial"/>
        <family val="2"/>
      </rPr>
      <t>CONTROL STATEMENT</t>
    </r>
    <r>
      <rPr>
        <sz val="10"/>
        <color theme="1"/>
        <rFont val="Arial"/>
        <family val="2"/>
      </rPr>
      <t xml:space="preserve">
All hardware and software inside the secure zone and on operator PCs are within the support lifecycle of the vendor, have been upgraded with mandatory software updates, and have had security updates promptly applied.</t>
    </r>
  </si>
  <si>
    <r>
      <rPr>
        <b/>
        <sz val="12"/>
        <color theme="1"/>
        <rFont val="Arial"/>
        <family val="2"/>
      </rPr>
      <t>CONTROL CONTEXT</t>
    </r>
    <r>
      <rPr>
        <sz val="10"/>
        <color theme="1"/>
        <rFont val="Arial"/>
        <family val="2"/>
      </rPr>
      <t xml:space="preserve">
The closure of known security vulnerabilities is effective in reducing the various pathways that an attacker may use during an attack. A security update process that is comprehensive, repeatable and implemented in a timely manner, is necessary to continuously close these known vulnerabilities when security patches are available.</t>
    </r>
  </si>
  <si>
    <t>Has the user minimized the occurrence of known technical vulnerabilities within the local Swift infrastructure by ensuring vendor support, applying mandatory software updates, and applying timely security updates aligned to the assessed risk?</t>
  </si>
  <si>
    <t>SYSTEM HARDENING</t>
  </si>
  <si>
    <r>
      <rPr>
        <b/>
        <sz val="12"/>
        <color theme="1"/>
        <rFont val="Arial"/>
        <family val="2"/>
      </rPr>
      <t>CONTROL OBJECTIVE</t>
    </r>
    <r>
      <rPr>
        <sz val="10"/>
        <color theme="1"/>
        <rFont val="Arial"/>
        <family val="2"/>
      </rPr>
      <t xml:space="preserve">
Reduce the cyber attack surface of Swift-related components by performing system hardening.</t>
    </r>
  </si>
  <si>
    <t>• dedicated and general-purpose operator PC</t>
  </si>
  <si>
    <t>• Excess attack surface</t>
  </si>
  <si>
    <t>• Exploitation of insecure system configuration</t>
  </si>
  <si>
    <t>• Systems (physical or VMs) hosting a Swift-related component (including interface, GUI, Swift or customer connector)</t>
  </si>
  <si>
    <t xml:space="preserve">• On-premises or remote (that is hosted and/or operated by a third party) virtualisation or cloud platform (also referred as the hypervisor) hosting Swift-related VM’s and their management PCs </t>
  </si>
  <si>
    <t xml:space="preserve">• network devices protecting the secure zone </t>
  </si>
  <si>
    <t>• [Advisory: bridging servers (such as middleware servers other than customer connectors) used for data exchange between back-office and Swift-related components]</t>
  </si>
  <si>
    <r>
      <rPr>
        <b/>
        <sz val="12"/>
        <color theme="1"/>
        <rFont val="Arial"/>
        <family val="2"/>
      </rPr>
      <t>CONTROL STATEMENT</t>
    </r>
    <r>
      <rPr>
        <sz val="10"/>
        <color theme="1"/>
        <rFont val="Arial"/>
        <family val="2"/>
      </rPr>
      <t xml:space="preserve">
Security hardening is conducted on all in-scope components.</t>
    </r>
  </si>
  <si>
    <r>
      <rPr>
        <b/>
        <sz val="12"/>
        <color theme="1"/>
        <rFont val="Arial"/>
        <family val="2"/>
      </rPr>
      <t>CONTROL CONTEXT</t>
    </r>
    <r>
      <rPr>
        <sz val="10"/>
        <color theme="1"/>
        <rFont val="Arial"/>
        <family val="2"/>
      </rPr>
      <t xml:space="preserve">
System hardening applies the security concept of “least privilege” to a system by disabling features and services that are not required for normal system operations. This process reduces the system capabilities, features, and protocols that a malicious person may use during an attack.</t>
    </r>
  </si>
  <si>
    <t>Has the user reduced the cyber attack surface of Swift-related components by performing system hardening?</t>
  </si>
  <si>
    <t>OPERATOR SESSION CONFIDENTIALITY AND INTEGRITY</t>
  </si>
  <si>
    <t>Interactive user, operator or management sessions performed from:</t>
  </si>
  <si>
    <t xml:space="preserve">• Dedicated and general-purpose operator PC </t>
  </si>
  <si>
    <t>• Loss of operational confidentiality</t>
  </si>
  <si>
    <t>• Loss of operational integrity</t>
  </si>
  <si>
    <t>• Any another intermediate system accessed or used from any of the above to connect to</t>
  </si>
  <si>
    <t>•  Password theft</t>
  </si>
  <si>
    <t>• Jump server or any other intermediate system accessed or used from any of the above</t>
  </si>
  <si>
    <t>• systems hosting a Swift-related component (including interface, GUI, Swift and customer connectors)</t>
  </si>
  <si>
    <t>• management console of a virtualisation or cloud platform hosting Swift-related components (including Swift and customer connector)</t>
  </si>
  <si>
    <t>• interface applications, GUI and Swift or customer connector in the secure zone</t>
  </si>
  <si>
    <t>• HSM</t>
  </si>
  <si>
    <t>• [Advisory: bridging servers (such as middleware servers other than customer connectors) used for and guardian of the secure data exchange between back-office and Swift-related components]</t>
  </si>
  <si>
    <r>
      <rPr>
        <b/>
        <sz val="12"/>
        <color theme="1"/>
        <rFont val="Arial"/>
        <family val="2"/>
      </rPr>
      <t>CONTROL CONTEXT</t>
    </r>
    <r>
      <rPr>
        <sz val="10"/>
        <color theme="1"/>
        <rFont val="Arial"/>
        <family val="2"/>
      </rPr>
      <t xml:space="preserve">
Operator sessions, through the jump server when accessing the on-premises or remote (that is hosted or operated by a third party, or both) Swift infrastructure, pose a unique threat because unusual or unexpected activity is more difficult to detect during interactive sessions than it is during application-to-application activity. Therefore, it is important to protect the integrity and confidentiality of these operator sessions to reduce any opportunity for misuse or password theft. When used, access to the virtualisation layer (virtualisation or cloud management console) must be similarly protected.</t>
    </r>
  </si>
  <si>
    <t>Has the user adequately protected the confidentiality and integrity of interactive operator sessions connecting to the local Swift infrastructure?</t>
  </si>
  <si>
    <r>
      <t>2.7</t>
    </r>
    <r>
      <rPr>
        <b/>
        <sz val="11"/>
        <rFont val="Arial"/>
        <family val="2"/>
      </rPr>
      <t xml:space="preserve"> (Advisory for B)</t>
    </r>
  </si>
  <si>
    <t>VULNERABILITY SCANNING</t>
  </si>
  <si>
    <r>
      <rPr>
        <b/>
        <sz val="12"/>
        <color theme="1"/>
        <rFont val="Arial"/>
        <family val="2"/>
      </rPr>
      <t>CONTROL OBJECTIVE</t>
    </r>
    <r>
      <rPr>
        <sz val="10"/>
        <color theme="1"/>
        <rFont val="Arial"/>
        <family val="2"/>
      </rPr>
      <t xml:space="preserve">
Identify known vulnerabilities within the user's Swift environment by implementing a regular vulnerability scanning process and act upon results.</t>
    </r>
  </si>
  <si>
    <t>• Dedicated operator PC</t>
  </si>
  <si>
    <t>• Unknown security vulnerabilities or security misconfigurations</t>
  </si>
  <si>
    <t>• all systems hosting a Swift-related component (including interface, GUI, Swift and customer connectors),</t>
  </si>
  <si>
    <t>• [Advisory: on-premises or remote (that is hosted and/or operated by a third party) virtualisation or cloud platform hosting Swift-related VM’s and their management PCs as per optional enhancement]</t>
  </si>
  <si>
    <t>• [Advisory: bridging servers (such as middleware or file transfer servers other than customer connector used for data exchange between back-office and Swift-related components]</t>
  </si>
  <si>
    <t xml:space="preserve">• [Advisory: general-purpose operator PCs as per the optional enhancement] </t>
  </si>
  <si>
    <t>Has the user identified known vulnerabilities within the local Swift environment by implementing a regular vulnerability scanning process and acted upon results?</t>
  </si>
  <si>
    <t xml:space="preserve"> Outsourced Critical Activity Protection</t>
  </si>
  <si>
    <r>
      <rPr>
        <b/>
        <sz val="12"/>
        <color theme="1"/>
        <rFont val="Arial"/>
        <family val="2"/>
      </rPr>
      <t>CONTROL OBJECTIVE</t>
    </r>
    <r>
      <rPr>
        <sz val="10"/>
        <color theme="1"/>
        <rFont val="Arial"/>
        <family val="2"/>
      </rPr>
      <t xml:space="preserve">
Ensure protection, in line with the CSCF, of the user's Swift infrastructure from risks exposed by the outsourcing of critical activities.</t>
    </r>
  </si>
  <si>
    <t>• Exposure to sub-standard security practices</t>
  </si>
  <si>
    <r>
      <rPr>
        <b/>
        <sz val="12"/>
        <color theme="1"/>
        <rFont val="Arial"/>
        <family val="2"/>
      </rPr>
      <t>CONTROL STATEMENT</t>
    </r>
    <r>
      <rPr>
        <sz val="10"/>
        <color theme="1"/>
        <rFont val="Arial"/>
        <family val="2"/>
      </rPr>
      <t xml:space="preserve">
Critical outsourced activities are protected, at a minimum, to the same standard of care as if operated within the originating organisation.</t>
    </r>
  </si>
  <si>
    <t>Has the user adequately ensured the protection of local Swift infrastructure from risks exposed by the outsourcing of critical activities?</t>
  </si>
  <si>
    <t>TRANSACTION BUSINESS CONTROLS</t>
  </si>
  <si>
    <r>
      <rPr>
        <b/>
        <sz val="12"/>
        <color theme="1"/>
        <rFont val="Arial"/>
        <family val="2"/>
      </rPr>
      <t>CONTROL OBJECTIVE</t>
    </r>
    <r>
      <rPr>
        <sz val="10"/>
        <color theme="1"/>
        <rFont val="Arial"/>
        <family val="2"/>
      </rPr>
      <t xml:space="preserve">
Ensure outbound transaction activity within the expected bounds of normal business.</t>
    </r>
  </si>
  <si>
    <t>• Undetected anomalies or suspicious activity</t>
  </si>
  <si>
    <r>
      <rPr>
        <b/>
        <sz val="12"/>
        <color theme="1"/>
        <rFont val="Arial"/>
        <family val="2"/>
      </rPr>
      <t>CONTROL STATEMENT</t>
    </r>
    <r>
      <rPr>
        <sz val="10"/>
        <color theme="1"/>
        <rFont val="Arial"/>
        <family val="2"/>
      </rPr>
      <t xml:space="preserve">
Implement transaction detection, prevention or validation controls, or a combination of them to ensure outbound transaction activity within the expected bounds of normal business.</t>
    </r>
  </si>
  <si>
    <t>Has the user restricted transaction activity within the expected bounds of normal business by at least one detective or/and preventive control(s) ?</t>
  </si>
  <si>
    <t>APPLICATION HARDENING</t>
  </si>
  <si>
    <r>
      <rPr>
        <b/>
        <sz val="12"/>
        <color theme="1"/>
        <rFont val="Arial"/>
        <family val="2"/>
      </rPr>
      <t>CONTROL OBJECTIVE</t>
    </r>
    <r>
      <rPr>
        <sz val="10"/>
        <color theme="1"/>
        <rFont val="Arial"/>
        <family val="2"/>
      </rPr>
      <t xml:space="preserve">
Reduce the attack surface of Swift-related components by performing application hardening on the Swift-compatible messaging and communication interfaces, the Swift connector and related applications.</t>
    </r>
  </si>
  <si>
    <t>• Exploitation of insecure application configuration</t>
  </si>
  <si>
    <t>• Swift connector</t>
  </si>
  <si>
    <r>
      <rPr>
        <b/>
        <sz val="12"/>
        <color theme="1"/>
        <rFont val="Arial"/>
        <family val="2"/>
      </rPr>
      <t>CONTROL STATEMENT</t>
    </r>
    <r>
      <rPr>
        <sz val="10"/>
        <color theme="1"/>
        <rFont val="Arial"/>
        <family val="2"/>
      </rPr>
      <t xml:space="preserve">
All messaging interfaces and communication interfaces products within the Swift secure zone are Swift compatible. Application Security hardening is conducted and maintained on all in-scope components.</t>
    </r>
  </si>
  <si>
    <r>
      <rPr>
        <b/>
        <sz val="12"/>
        <color theme="1"/>
        <rFont val="Arial"/>
        <family val="2"/>
      </rPr>
      <t>CONTROL CONTEXT</t>
    </r>
    <r>
      <rPr>
        <sz val="10"/>
        <color theme="1"/>
        <rFont val="Arial"/>
        <family val="2"/>
      </rPr>
      <t xml:space="preserve">
Application hardening applies the security concept of “least privilege” to an application by disabling features and services that are not required for normal operations. This process reduces the application capabilities, features, and protocols that may be used during an attack. The process also makes sure that potential default credentials are changed.
In addition, Swift runs a Compatible Interface Programme to make sure interfaces are aligned with current practices and to give the customer additional assurance, guarantees, and better visibility regarding individual product capabilities. Upon the successful validation of the test results by the Swift Test Authority, the interface is published in the Compatible Register. As per the Swift General Terms and Conditions, customers must use a Swift-compatible interface.</t>
    </r>
  </si>
  <si>
    <t>Has the user adequately reduced the attack surface of Swift-related components by performing application hardening on the Swift-certified messaging and communication interfaces and related applications?</t>
  </si>
  <si>
    <t>PHYSICAL SECURITY</t>
  </si>
  <si>
    <r>
      <rPr>
        <b/>
        <sz val="12"/>
        <color theme="1"/>
        <rFont val="Arial"/>
        <family val="2"/>
      </rPr>
      <t>CONTROL OBJECTIVE</t>
    </r>
    <r>
      <rPr>
        <sz val="10"/>
        <color theme="1"/>
        <rFont val="Arial"/>
        <family val="2"/>
      </rPr>
      <t xml:space="preserve">
Prevent unauthorized physical access to sensitive equipment, workplace environments, hosting sites, and storage.</t>
    </r>
  </si>
  <si>
    <t>• Dedicated and general-purpose operator PC including removable equipment</t>
  </si>
  <si>
    <t>• on-premises or remote (hosted or operated by a third party, or both) hardware, including HSM, hosting a Swift-related component (including interface, GUI, Swift and customer connectors)</t>
  </si>
  <si>
    <t>• Unauthorized physical access</t>
  </si>
  <si>
    <t>• on-pemises or remote (hosted or operated by a third party, or both) hardware supporting virtualisation or cloud platform and hosting Swift-related VMs</t>
  </si>
  <si>
    <t>• [Advisory: bridging servers (such as middleware or file transfer servers other than customer 
connectors) used for and guardian of the secure data exchange between back-office and Swift-related 
components]</t>
  </si>
  <si>
    <t>• Alliance Connect SRX VPN boxes and Alliance Connect Virtual VPN instances</t>
  </si>
  <si>
    <r>
      <rPr>
        <b/>
        <sz val="10"/>
        <color theme="1"/>
        <rFont val="Arial"/>
        <family val="2"/>
      </rPr>
      <t>Note:</t>
    </r>
    <r>
      <rPr>
        <sz val="10"/>
        <color theme="1"/>
        <rFont val="Arial"/>
        <family val="2"/>
      </rPr>
      <t xml:space="preserve"> Alliance Connect SRX VPN boxes and  Alliance Connect Virtual  VPN instances (hosting systems or machines) must also be in an environment with appropriate physical controls as described below.</t>
    </r>
  </si>
  <si>
    <r>
      <rPr>
        <b/>
        <sz val="12"/>
        <color theme="1"/>
        <rFont val="Arial"/>
        <family val="2"/>
      </rPr>
      <t>CONTROL STATEMENT</t>
    </r>
    <r>
      <rPr>
        <sz val="10"/>
        <color theme="1"/>
        <rFont val="Arial"/>
        <family val="2"/>
      </rPr>
      <t xml:space="preserve">
Physical security controls are in place to protect access to sensitive equipment, hosting sites, and storage.</t>
    </r>
  </si>
  <si>
    <r>
      <rPr>
        <b/>
        <sz val="12"/>
        <color theme="1"/>
        <rFont val="Arial"/>
        <family val="2"/>
      </rPr>
      <t>CONTROL CONTEXT</t>
    </r>
    <r>
      <rPr>
        <sz val="10"/>
        <color theme="1"/>
        <rFont val="Arial"/>
        <family val="2"/>
      </rPr>
      <t xml:space="preserve">
Implementing physical security controls protects against insider and external threats, and reduces opportunistic attacks enabled by access to physical systems.</t>
    </r>
  </si>
  <si>
    <t>Has the user prevented unauthorized physical access to sensitive equipment, workplace environments, hosting sites, and storage?</t>
  </si>
  <si>
    <t>PASSWORD POLICY</t>
  </si>
  <si>
    <r>
      <rPr>
        <b/>
        <sz val="12"/>
        <color theme="1"/>
        <rFont val="Arial"/>
        <family val="2"/>
      </rPr>
      <t>CONTROL OBJECTIVE</t>
    </r>
    <r>
      <rPr>
        <sz val="10"/>
        <color theme="1"/>
        <rFont val="Arial"/>
        <family val="2"/>
      </rPr>
      <t xml:space="preserve">
Ensure passwords are sufficiently resistant against common password attacks by implementing and enforcing an effective password policy.</t>
    </r>
  </si>
  <si>
    <t>Passwords defined on the following components:</t>
  </si>
  <si>
    <t>• dedicated and general-purpose operator PCs and when used  jump server</t>
  </si>
  <si>
    <t>• Password cracking, guessing, or other computational compromise</t>
  </si>
  <si>
    <t>• Swift-related components (including interfaces, GUI, Swift and customer connectors, new HSM)</t>
  </si>
  <si>
    <t>• systems hosting Swift-related components</t>
  </si>
  <si>
    <t>• on-premises or remote (hosted and/or operated by a third party) virtualisation or cloud platform hosting Swift-related VM’s and their management PCs</t>
  </si>
  <si>
    <t>• [Advisory:bridging servers (such as middleware or file transfer servers other than customer connectors used for and guardian of the data exchange between back-office and Swift-related components]</t>
  </si>
  <si>
    <t>• Personal tokens and personal mobile devices used as possession factor for multi-factor authentication (considered as software tokens) (see control 4.2)</t>
  </si>
  <si>
    <r>
      <rPr>
        <b/>
        <sz val="12"/>
        <color theme="1"/>
        <rFont val="Arial"/>
        <family val="2"/>
      </rPr>
      <t>CONTROL STATEMENT</t>
    </r>
    <r>
      <rPr>
        <sz val="10"/>
        <color theme="1"/>
        <rFont val="Arial"/>
        <family val="2"/>
      </rPr>
      <t xml:space="preserve">
All application and operating system accounts enforce passwords with appropriate parameters such as length, complexity, validity, and the number of failed log-in attempts. Similarly, personal tokens and mobile devices enforce passwords or Personal Identification Number (PIN) with appropriate parameters.</t>
    </r>
  </si>
  <si>
    <r>
      <rPr>
        <b/>
        <sz val="12"/>
        <color theme="1"/>
        <rFont val="Arial"/>
        <family val="2"/>
      </rPr>
      <t>CONTROL CONTEXT</t>
    </r>
    <r>
      <rPr>
        <sz val="10"/>
        <color theme="1"/>
        <rFont val="Arial"/>
        <family val="2"/>
      </rPr>
      <t xml:space="preserve">
Implementing a password policy that protects against common password attacks (for example, guessing and brute force) is effective for protecting against account compromise. Attackers often use the privileges of a compromised account to move laterally within an environment and progress the attack. Another risk is the compromise of local authentication keys to tamper with the integrity of transactions.
It is however important to recognise that passwords alone are generally not sufficient in the current cyber threat landscape. Users should consider this control in close relationship with the multifactor authentication requirement.</t>
    </r>
  </si>
  <si>
    <t>Has the user ensured passwords are sufficiently resistant against common password attacks by implementing and enforcing an effective password policy?</t>
  </si>
  <si>
    <t>MULTI-FACTOR AUTHENTICATION</t>
  </si>
  <si>
    <r>
      <rPr>
        <b/>
        <sz val="12"/>
        <color theme="1"/>
        <rFont val="Arial"/>
        <family val="2"/>
      </rPr>
      <t>CONTROL OBJECTIVE</t>
    </r>
    <r>
      <rPr>
        <sz val="10"/>
        <color theme="1"/>
        <rFont val="Arial"/>
        <family val="2"/>
      </rPr>
      <t xml:space="preserve">
Prevent that a compromise of a single authentication factor allows access into Swift-related systems or applications by implementing multi-factor authentication</t>
    </r>
  </si>
  <si>
    <t>• Dedicated Operator PC log-in</t>
  </si>
  <si>
    <t xml:space="preserve">• access to jump server and to new HSM </t>
  </si>
  <si>
    <t>• Password theft</t>
  </si>
  <si>
    <t>• Access to the remote Swift infrastructure (hosted and/or operated by a third party)</t>
  </si>
  <si>
    <r>
      <rPr>
        <b/>
        <sz val="12"/>
        <color theme="1"/>
        <rFont val="Arial"/>
        <family val="2"/>
      </rPr>
      <t>CONTROL STATEMENT</t>
    </r>
    <r>
      <rPr>
        <sz val="10"/>
        <color theme="1"/>
        <rFont val="Arial"/>
        <family val="2"/>
      </rPr>
      <t xml:space="preserve">
Multi-factor authentication is used for interactive user access to Swift-related components or applications and operating system accounts.</t>
    </r>
  </si>
  <si>
    <r>
      <rPr>
        <b/>
        <sz val="12"/>
        <color theme="1"/>
        <rFont val="Arial"/>
        <family val="2"/>
      </rPr>
      <t>CONTROL CONTEXT</t>
    </r>
    <r>
      <rPr>
        <sz val="10"/>
        <color theme="1"/>
        <rFont val="Arial"/>
        <family val="2"/>
      </rPr>
      <t xml:space="preserve">
Multi-factor authentication requires the presentation of two or more of the below mentioned common authentication factors:
• Knowledge factor (something the operator knows), typically, a password.
• possession factor: something the operator has (for example, connected USB tokens or smart cards, or 
disconnected tokens such as a (time based) one-time password- (T)OTP- generator or application storing 
a cryptographic private key that runs on another device like operator’s mobile phone considered as a 
software token, RSA token, 3-Skey Digital and its mobile version considered as a software token, or 
Digipass) </t>
    </r>
    <r>
      <rPr>
        <b/>
        <sz val="10"/>
        <color theme="1"/>
        <rFont val="Arial"/>
        <family val="2"/>
      </rPr>
      <t xml:space="preserve">
</t>
    </r>
    <r>
      <rPr>
        <sz val="10"/>
        <color theme="1"/>
        <rFont val="Arial"/>
        <family val="2"/>
      </rPr>
      <t>• Inherence factor (something the operator is), typically, biometrics such as fingerprint, retina scans or voice recognition.
Implementing multi-factor authentication provides an additional layer of protection against common authentication attacks (for example, shoulder surfing, password re-use, or weak passwords) and provides further protection from account compromise for malicious transaction processing. Attackers often use the privileges of a compromised account to move laterally within an environment and progress an attack.</t>
    </r>
  </si>
  <si>
    <r>
      <t>Assessors should use a</t>
    </r>
    <r>
      <rPr>
        <b/>
        <u/>
        <sz val="11"/>
        <rFont val="Arial"/>
        <family val="2"/>
      </rPr>
      <t xml:space="preserve"> risk based</t>
    </r>
    <r>
      <rPr>
        <b/>
        <sz val="11"/>
        <rFont val="Arial"/>
        <family val="2"/>
      </rPr>
      <t xml:space="preserve"> approach to assess the user’s compliance with the CSP control; i.e. assess the security goal, regardless  of the implementation method used (be it the suggested guidelines or alternatives).
As such, to comply with a CSP security control, users must implement a solution that: (i)Meets the stated control objective, (ii)  Addresses the risks and (iii) Covers the documented in-scope components relevant for the user’s architecture.
The control statement is a suggested mean to fulfil the control objective and the implementation guidelines are common methods for implementing the control. Even if guidelines can be a good way to start an assessment, </t>
    </r>
    <r>
      <rPr>
        <b/>
        <u/>
        <sz val="11"/>
        <rFont val="Arial"/>
        <family val="2"/>
      </rPr>
      <t>the implementation guidance section should never be considered as an "audit checklist"</t>
    </r>
    <r>
      <rPr>
        <b/>
        <sz val="11"/>
        <rFont val="Arial"/>
        <family val="2"/>
      </rPr>
      <t xml:space="preserve"> as each user’s implementation may vary. Therefore, in the case that some implementation guidelines elements are not present or partially covered, mitigations as well as particular environment specificities have to be taken into account to properly assess the overall compliance adherence level (again, as per the suggeste guidelines or as per alternatives).
</t>
    </r>
  </si>
  <si>
    <t>Has the user prevented that a compromise of a single authentication factor allows access into Swift systems, by implementing multi-factor authentication?</t>
  </si>
  <si>
    <t>LOGICAL ACCESS CONTROL</t>
  </si>
  <si>
    <r>
      <rPr>
        <b/>
        <sz val="12"/>
        <color theme="1"/>
        <rFont val="Arial"/>
        <family val="2"/>
      </rPr>
      <t>CONTROL OBJECTIVE</t>
    </r>
    <r>
      <rPr>
        <sz val="10"/>
        <color theme="1"/>
        <rFont val="Arial"/>
        <family val="2"/>
      </rPr>
      <t xml:space="preserve">
Enforce the security principles of need-to-know access, least privilege, and separation of duties for operator accounts.</t>
    </r>
  </si>
  <si>
    <t>User, operator or management accounts defined on the following components:</t>
  </si>
  <si>
    <t>• on-premises or remote virtualisation or cloud platform and their management PCs, hosting Swift-related VMs and , on those VMs themselves</t>
  </si>
  <si>
    <t>• separation of duty violations</t>
  </si>
  <si>
    <t>• HSM management misused</t>
  </si>
  <si>
    <t>• SwiftNet Online Operations Manager (O2M) on Swift.com</t>
  </si>
  <si>
    <t>• [Advisory: All operator accounts on the bridging servers (such as middleware or file transfer servers other than customer connectors used for and guardian of the data exchange between back-office and Swift-related components]
Note: Sharing/reusing credentials and roles/entitlements (accounts) for business transactions on other systems or components used for ancillary services will turn those systems or components in scope of the CSCF controls.</t>
  </si>
  <si>
    <r>
      <rPr>
        <b/>
        <sz val="12"/>
        <color theme="1"/>
        <rFont val="Arial"/>
        <family val="2"/>
      </rPr>
      <t>CONTROL STATEMENT</t>
    </r>
    <r>
      <rPr>
        <sz val="10"/>
        <color theme="1"/>
        <rFont val="Arial"/>
        <family val="2"/>
      </rPr>
      <t xml:space="preserve">
Accounts are defined according to the security principles of need-to-know access, least privilege, and separation of duties.</t>
    </r>
  </si>
  <si>
    <r>
      <rPr>
        <b/>
        <sz val="12"/>
        <color theme="1"/>
        <rFont val="Arial"/>
        <family val="2"/>
      </rPr>
      <t>CONTROL CONTEXT</t>
    </r>
    <r>
      <rPr>
        <sz val="10"/>
        <color theme="1"/>
        <rFont val="Arial"/>
        <family val="2"/>
      </rPr>
      <t xml:space="preserve">
Applying the security principles of (1) need-to-know, (2) least privilege, and (3) separation of duties is essential to restricting access to the user's Swift infrastructure. Effective management of operator accounts reduces the opportunities for a malicious person to use accounts as part of an attack.</t>
    </r>
  </si>
  <si>
    <t>Has the user enforced the security principles of need-to-know access, least privilege, and separation of duties for operator accounts?</t>
  </si>
  <si>
    <t>TOKEN MANAGEMENT</t>
  </si>
  <si>
    <r>
      <rPr>
        <b/>
        <sz val="12"/>
        <color theme="1"/>
        <rFont val="Arial"/>
        <family val="2"/>
      </rPr>
      <t>CONTROL OBJECTIVE</t>
    </r>
    <r>
      <rPr>
        <sz val="10"/>
        <color theme="1"/>
        <rFont val="Arial"/>
        <family val="2"/>
      </rPr>
      <t xml:space="preserve">
Ensure the proper management, tracking, and use of connected and disconnected hardware authentication or personal and software tokens (when tokens are used).</t>
    </r>
  </si>
  <si>
    <t>• Connected and disconnected hardware authentication or personal tokens used for Swift operations or secure zone access</t>
  </si>
  <si>
    <t>• Authentication token theft</t>
  </si>
  <si>
    <t>• software tokens used as second authentication factor (when explicitly identified for their assignment and 
management in support of control 4.2)</t>
  </si>
  <si>
    <t>• PIN Entry Device (PED) used for HSM operations</t>
  </si>
  <si>
    <r>
      <rPr>
        <b/>
        <sz val="12"/>
        <color theme="1"/>
        <rFont val="Arial"/>
        <family val="2"/>
      </rPr>
      <t>CONTROL STATEMENT</t>
    </r>
    <r>
      <rPr>
        <sz val="10"/>
        <color theme="1"/>
        <rFont val="Arial"/>
        <family val="2"/>
      </rPr>
      <t xml:space="preserve">
Connected and disconnected hardware authentication or personal tokens are managed appropriately during assignment, distribution, revocation, use, and storage.</t>
    </r>
  </si>
  <si>
    <r>
      <rPr>
        <b/>
        <sz val="12"/>
        <color theme="1"/>
        <rFont val="Arial"/>
        <family val="2"/>
      </rPr>
      <t>CONTROL CONTEXT</t>
    </r>
    <r>
      <rPr>
        <sz val="10"/>
        <color theme="1"/>
        <rFont val="Arial"/>
        <family val="2"/>
      </rPr>
      <t xml:space="preserve">
The protection of connected and disconnected hardware authentication, personal tokens or software tokens is essential to safeguarding the related operator or system account and reinforces good security practice, providing an additional layer of protection from attackers.</t>
    </r>
  </si>
  <si>
    <t>Has the user ensured the proper management, tracking, and use of connected and disconnected hardware authentication tokens (when tokens are used)?</t>
  </si>
  <si>
    <t>PASSWORD REPOSITORY PROTECTION</t>
  </si>
  <si>
    <r>
      <rPr>
        <b/>
        <sz val="12"/>
        <color theme="1"/>
        <rFont val="Arial"/>
        <family val="2"/>
      </rPr>
      <t>CONTROL OBJECTIVE</t>
    </r>
    <r>
      <rPr>
        <sz val="10"/>
        <color theme="1"/>
        <rFont val="Arial"/>
        <family val="2"/>
      </rPr>
      <t xml:space="preserve">
Protect physically and logically the repository of recorded passwords.</t>
    </r>
  </si>
  <si>
    <t>Repository recording accounts and passwords  defined on the following components:</t>
  </si>
  <si>
    <t>• HSM and related tokens</t>
  </si>
  <si>
    <t>• network devices components protecting the secure zone</t>
  </si>
  <si>
    <t>• on-premises or remote (hosted and/or operated by a third party) virtualisation or cloud platform hosting Swift-related VM’s</t>
  </si>
  <si>
    <t>• [Advisory: bridging servers (such as middleware or file transfer servers other than customer connectors used for data exchange between back-office and Swift-related components</t>
  </si>
  <si>
    <t>• SwiftNet Online Operations Manager (O2M) and Swift.com</t>
  </si>
  <si>
    <r>
      <rPr>
        <b/>
        <sz val="12"/>
        <color theme="1"/>
        <rFont val="Arial"/>
        <family val="2"/>
      </rPr>
      <t>CONTROL STATEMENT</t>
    </r>
    <r>
      <rPr>
        <sz val="10"/>
        <color theme="1"/>
        <rFont val="Arial"/>
        <family val="2"/>
      </rPr>
      <t xml:space="preserve">
Recorded passwords are stored in a protected physical or logical location, with access restricted on a need-to-know basis.</t>
    </r>
  </si>
  <si>
    <r>
      <rPr>
        <b/>
        <sz val="12"/>
        <color theme="1"/>
        <rFont val="Arial"/>
        <family val="2"/>
      </rPr>
      <t>CONTROL CONTEXT</t>
    </r>
    <r>
      <rPr>
        <sz val="10"/>
        <color theme="1"/>
        <rFont val="Arial"/>
        <family val="2"/>
      </rPr>
      <t xml:space="preserve">
The secure storage of recorded passwords (repository) ensures that passwords are not easily accessible to others, thereby protecting against simple password theft. Common unsecure methods include (unexhaustive list): recording passwords in a spreadsheet or a text document saved in clear on a desktop or in a shared directory or a server, saved in a mobile phone, written/printed on a post-it or a leaflet.
This control covers the storage of emergency, privileged or any other account passwords. All accounts have to be considered because (i) combination of compromised not privileged accounts can be damageable, such as transaction creator account and approver account (ii) even monitoring accounts provide valuable information during the reconnaissance time.
This control covers the storage of emergency, privileged or any other account passwords.</t>
    </r>
  </si>
  <si>
    <t>Has the user adequately protected physically and logically recorded passwords?</t>
  </si>
  <si>
    <t>MALWARE PROTECTION</t>
  </si>
  <si>
    <r>
      <rPr>
        <b/>
        <sz val="12"/>
        <color theme="1"/>
        <rFont val="Arial"/>
        <family val="2"/>
      </rPr>
      <t>CONTROL OBJECTIVE</t>
    </r>
    <r>
      <rPr>
        <sz val="10"/>
        <color theme="1"/>
        <rFont val="Arial"/>
        <family val="2"/>
      </rPr>
      <t xml:space="preserve">
Ensure that the user's Swift infrastructure is protected against malware and act upon results.</t>
    </r>
  </si>
  <si>
    <t>Anti-malware software is implemented on Windows operating systems of the below components:</t>
  </si>
  <si>
    <t>• Execution of malicious code</t>
  </si>
  <si>
    <t>• Management PCs of an on-premises or remote (hosted and/or operated by a third party) Virtualisation or cloud platform</t>
  </si>
  <si>
    <t>• systems hosting a Swift-related component (including interface, GUI, Swift or customer connector</t>
  </si>
  <si>
    <t>• [Advisory: bridging servers (such as middleware or file transfer servers other than customer connectors used for data exchange between back-office and Swift-related components]</t>
  </si>
  <si>
    <r>
      <rPr>
        <b/>
        <sz val="12"/>
        <color theme="1"/>
        <rFont val="Arial"/>
        <family val="2"/>
      </rPr>
      <t>CONTROL STATEMENT</t>
    </r>
    <r>
      <rPr>
        <sz val="10"/>
        <color theme="1"/>
        <rFont val="Arial"/>
        <family val="2"/>
      </rPr>
      <t xml:space="preserve">
Anti-malware software from a reputable vendor is installed, kept up-to-date on all systems, and results are considered for appropriate resolving actions.</t>
    </r>
  </si>
  <si>
    <t>Has the user ensured that local Swift infrastructure is protected against malware?</t>
  </si>
  <si>
    <r>
      <t xml:space="preserve">6.2 </t>
    </r>
    <r>
      <rPr>
        <b/>
        <sz val="11"/>
        <rFont val="Arial"/>
        <family val="2"/>
      </rPr>
      <t>(Advisory for A4)</t>
    </r>
  </si>
  <si>
    <t>SOFTWARE INTEGRITY</t>
  </si>
  <si>
    <r>
      <rPr>
        <b/>
        <sz val="12"/>
        <color theme="1"/>
        <rFont val="Arial"/>
        <family val="2"/>
      </rPr>
      <t>CONTROL OBJECTIVE</t>
    </r>
    <r>
      <rPr>
        <sz val="10"/>
        <color theme="1"/>
        <rFont val="Arial"/>
        <family val="2"/>
      </rPr>
      <t xml:space="preserve">
Ensure the software integrity of the Swift-related components and act upon result</t>
    </r>
  </si>
  <si>
    <t>• GUI to the messaging and communication interface</t>
  </si>
  <si>
    <t xml:space="preserve">• messaging interface </t>
  </si>
  <si>
    <t xml:space="preserve">• communication interface </t>
  </si>
  <si>
    <t>• SNL</t>
  </si>
  <si>
    <t>• New HSM (only for the checking of the firmware update)</t>
  </si>
  <si>
    <r>
      <rPr>
        <b/>
        <sz val="12"/>
        <color theme="1"/>
        <rFont val="Arial"/>
        <family val="2"/>
      </rPr>
      <t>CONTROL STATEMENT</t>
    </r>
    <r>
      <rPr>
        <sz val="10"/>
        <color theme="1"/>
        <rFont val="Arial"/>
        <family val="2"/>
      </rPr>
      <t xml:space="preserve">
A software integrity check is performed at regular intervals on messaging interface, communication interface, and other Swift-related components and results are considered for appropriate resolving actions. Origin and integrity 
of the software is ensured at download and at deployment time.</t>
    </r>
  </si>
  <si>
    <r>
      <rPr>
        <b/>
        <sz val="12"/>
        <color theme="1"/>
        <rFont val="Arial"/>
        <family val="2"/>
      </rPr>
      <t>CONTROL CONTEXT</t>
    </r>
    <r>
      <rPr>
        <sz val="10"/>
        <color theme="1"/>
        <rFont val="Arial"/>
        <family val="2"/>
      </rPr>
      <t xml:space="preserve">
Software integrity checks provide a detective control against unexpected modification to operational software.</t>
    </r>
  </si>
  <si>
    <t>Has the user ensured the software integrity of the Swift-related components?</t>
  </si>
  <si>
    <r>
      <t xml:space="preserve">6.3 </t>
    </r>
    <r>
      <rPr>
        <b/>
        <sz val="12"/>
        <rFont val="Arial"/>
        <family val="2"/>
      </rPr>
      <t>(Advisory for A4)</t>
    </r>
  </si>
  <si>
    <t>DATABASE INTEGRITY</t>
  </si>
  <si>
    <r>
      <rPr>
        <b/>
        <sz val="12"/>
        <color theme="1"/>
        <rFont val="Arial"/>
        <family val="2"/>
      </rPr>
      <t>CONTROL OBJECTIVE</t>
    </r>
    <r>
      <rPr>
        <sz val="10"/>
        <color theme="1"/>
        <rFont val="Arial"/>
        <family val="2"/>
      </rPr>
      <t xml:space="preserve">
Ensure the integrity of the database records for the Swift messaging interface or the customer connector and act upon results 
 </t>
    </r>
  </si>
  <si>
    <r>
      <rPr>
        <b/>
        <sz val="12"/>
        <color theme="1"/>
        <rFont val="Arial"/>
        <family val="2"/>
      </rPr>
      <t>CONTROL CONTEXT</t>
    </r>
    <r>
      <rPr>
        <sz val="10"/>
        <color theme="1"/>
        <rFont val="Arial"/>
        <family val="2"/>
      </rPr>
      <t xml:space="preserve">
Database integrity checks provide a detective control against unexpected modification to records stored within the database.</t>
    </r>
  </si>
  <si>
    <t>Has the user ensured the integrity of the database records for the Swift messaging interface?</t>
  </si>
  <si>
    <t>LOGGING AND MONITORING</t>
  </si>
  <si>
    <r>
      <rPr>
        <b/>
        <sz val="12"/>
        <color theme="1"/>
        <rFont val="Arial"/>
        <family val="2"/>
      </rPr>
      <t>CONTROL OBJECTIVE</t>
    </r>
    <r>
      <rPr>
        <sz val="10"/>
        <color theme="1"/>
        <rFont val="Arial"/>
        <family val="2"/>
      </rPr>
      <t xml:space="preserve">
Record security events, detect and respond to anomalous actions and operations within the user's Swift environment.</t>
    </r>
  </si>
  <si>
    <t>• Data exchange layer: network</t>
  </si>
  <si>
    <t>• Operating system of a dedicated and general-purpose operator PC</t>
  </si>
  <si>
    <t>• network devices protecting the secure zone and HSM</t>
  </si>
  <si>
    <t>• database linked to a messaging interface or a customer connector</t>
  </si>
  <si>
    <t>• authentication or authorisation servers, or both, controlling accesses to the secure zone</t>
  </si>
  <si>
    <t>• on-premises or remote (hosted and/or operated by a third party)  virtualisation or cloud platform hosting Swift-relatedVM’s</t>
  </si>
  <si>
    <t>• [Advisory:bridging servers (such as middleware or file transfer servers other than customer connectors used for and guardian of the secure data exchange between back-office and Swift-related components]</t>
  </si>
  <si>
    <r>
      <rPr>
        <b/>
        <sz val="12"/>
        <color theme="1"/>
        <rFont val="Arial"/>
        <family val="2"/>
      </rPr>
      <t>CONTROL STATEMENT</t>
    </r>
    <r>
      <rPr>
        <sz val="10"/>
        <color theme="1"/>
        <rFont val="Arial"/>
        <family val="2"/>
      </rPr>
      <t xml:space="preserve">
Capabilities to detect anomalous activity are implemented, and a process or tool is in place to frequently store and review logs.</t>
    </r>
  </si>
  <si>
    <r>
      <rPr>
        <b/>
        <sz val="12"/>
        <color theme="1"/>
        <rFont val="Arial"/>
        <family val="2"/>
      </rPr>
      <t>CONTROL CONTEXT</t>
    </r>
    <r>
      <rPr>
        <sz val="10"/>
        <color theme="1"/>
        <rFont val="Arial"/>
        <family val="2"/>
      </rPr>
      <t xml:space="preserve">
Developing a logging and monitoring plan is the basis of effectively detecting abnormal behaviour and potential attacks. As the operational environment becomes more complex, so will the logging and monitoring capability needed to perform adequate detection. Simplifying the operational environment will enable more straightforward logging and monitoring.</t>
    </r>
  </si>
  <si>
    <t>Has the user recorded security events and detected anomalous actions and operations within the local Swift environment?</t>
  </si>
  <si>
    <t>CYBER INCIDENT RESPONSE PLANNING</t>
  </si>
  <si>
    <r>
      <rPr>
        <b/>
        <sz val="12"/>
        <color theme="1"/>
        <rFont val="Arial"/>
        <family val="2"/>
      </rPr>
      <t>CONTROL OBJECTIVE</t>
    </r>
    <r>
      <rPr>
        <sz val="10"/>
        <color theme="1"/>
        <rFont val="Arial"/>
        <family val="2"/>
      </rPr>
      <t xml:space="preserve">
Ensure a consistent and effective approach for the management of cyber incidents.</t>
    </r>
  </si>
  <si>
    <t>• Organisational control</t>
  </si>
  <si>
    <t>• Excess harm from deficient cyber readiness</t>
  </si>
  <si>
    <r>
      <rPr>
        <b/>
        <sz val="12"/>
        <color theme="1"/>
        <rFont val="Arial"/>
        <family val="2"/>
      </rPr>
      <t>CONTROL STATEMENT</t>
    </r>
    <r>
      <rPr>
        <sz val="10"/>
        <color theme="1"/>
        <rFont val="Arial"/>
        <family val="2"/>
      </rPr>
      <t xml:space="preserve">
The user has a defined and tested cyber incident response plan.</t>
    </r>
  </si>
  <si>
    <r>
      <rPr>
        <b/>
        <sz val="12"/>
        <color theme="1"/>
        <rFont val="Arial"/>
        <family val="2"/>
      </rPr>
      <t>CONTROL CONTEXT</t>
    </r>
    <r>
      <rPr>
        <sz val="10"/>
        <color theme="1"/>
        <rFont val="Arial"/>
        <family val="2"/>
      </rPr>
      <t xml:space="preserve">
Availability and adequate resilience is of key importance to the business. In this respect, defining and testing a cyber incident response plan is a highly effective way of reducing the impact and duration of a real cyber incident. As lessons are learnt either by testing this plan, or through real incidents, it is essential to apply these learnings and improve the plan. Additionally, planning for the sharing of threat and incident information is critical to assisting the broader financial community in implementing effective protections against cyber attacks.</t>
    </r>
  </si>
  <si>
    <t>Has the user ensured a consistent and effective approach for the management of cyber incidents?</t>
  </si>
  <si>
    <t>SECURITY TRAINING AND AWARENESS</t>
  </si>
  <si>
    <r>
      <rPr>
        <b/>
        <sz val="12"/>
        <color theme="1"/>
        <rFont val="Arial"/>
        <family val="2"/>
      </rPr>
      <t>CONTROL OBJECTIVE</t>
    </r>
    <r>
      <rPr>
        <sz val="10"/>
        <color theme="1"/>
        <rFont val="Arial"/>
        <family val="2"/>
      </rPr>
      <t xml:space="preserve">
Ensure all staff are aware of and fulfil their security responsibilities by performing </t>
    </r>
    <r>
      <rPr>
        <b/>
        <sz val="10"/>
        <color theme="1"/>
        <rFont val="Arial"/>
        <family val="2"/>
      </rPr>
      <t xml:space="preserve">regular </t>
    </r>
    <r>
      <rPr>
        <sz val="10"/>
        <color theme="1"/>
        <rFont val="Arial"/>
        <family val="2"/>
      </rPr>
      <t>awareness activities, and maintain security knowledge of staff with privileged access.</t>
    </r>
  </si>
  <si>
    <t>• All staff (such as employees, agents, consultants and contractors) with access to Swift-related systems (as user or for maintenance or administration)
• All staff (such as employees, agents, consultants and contractors) with privileged access to Swift-related systems (for maintenance or administration)</t>
  </si>
  <si>
    <t>• Increased security risk from improperly trained staff</t>
  </si>
  <si>
    <r>
      <rPr>
        <b/>
        <sz val="12"/>
        <color theme="1"/>
        <rFont val="Arial"/>
        <family val="2"/>
      </rPr>
      <t>CONTROL STATEMENT</t>
    </r>
    <r>
      <rPr>
        <sz val="10"/>
        <color theme="1"/>
        <rFont val="Arial"/>
        <family val="2"/>
      </rPr>
      <t xml:space="preserve">
Annual security awareness sessions are conducted for all staff members with access to Swift-related systems.  All staff with privileged access maintain knowledge through specific training or learning activities when relevant or appropriate (at management’s discretion)</t>
    </r>
  </si>
  <si>
    <t>Has the user ensured all staff are aware of and fulfil their security responsibilities by performing awareness activities, and maintaining security knowledge of staff with privileged access?</t>
  </si>
  <si>
    <r>
      <t>• [</t>
    </r>
    <r>
      <rPr>
        <b/>
        <sz val="10"/>
        <color theme="1"/>
        <rFont val="Arial"/>
        <family val="2"/>
      </rPr>
      <t>Advisory: customer client connector</t>
    </r>
    <r>
      <rPr>
        <sz val="10"/>
        <color theme="1"/>
        <rFont val="Arial"/>
        <family val="2"/>
      </rPr>
      <t>]</t>
    </r>
  </si>
  <si>
    <r>
      <t xml:space="preserve">• </t>
    </r>
    <r>
      <rPr>
        <b/>
        <sz val="10"/>
        <color theme="1"/>
        <rFont val="Arial"/>
        <family val="2"/>
      </rPr>
      <t xml:space="preserve">[Advisory: customer client connector] </t>
    </r>
  </si>
  <si>
    <t xml:space="preserve">• [Advisory: systems or VMs hosting a customer client connector] </t>
  </si>
  <si>
    <r>
      <t xml:space="preserve">• Dedicated and general-purpose operator PCs </t>
    </r>
    <r>
      <rPr>
        <b/>
        <sz val="10"/>
        <color theme="1"/>
        <rFont val="Arial"/>
        <family val="2"/>
      </rPr>
      <t>(when using virtual desktops)</t>
    </r>
  </si>
  <si>
    <r>
      <t xml:space="preserve">Note: This requirement is not applicable when there is no on-premises and remote virtualisation or cloud platform and no VMs used to host the referred </t>
    </r>
    <r>
      <rPr>
        <b/>
        <sz val="10"/>
        <color theme="1"/>
        <rFont val="Arial"/>
        <family val="2"/>
      </rPr>
      <t>in-scope</t>
    </r>
    <r>
      <rPr>
        <sz val="10"/>
        <color theme="1"/>
        <rFont val="Arial"/>
        <family val="2"/>
      </rPr>
      <t xml:space="preserve"> components.
Note: It is reminded that containerised applications have to be considered as co-hosted on the same system that hosts the container itself.</t>
    </r>
  </si>
  <si>
    <r>
      <t xml:space="preserve">• </t>
    </r>
    <r>
      <rPr>
        <b/>
        <sz val="10"/>
        <color theme="1"/>
        <rFont val="Arial"/>
        <family val="2"/>
      </rPr>
      <t>[Advisory: customer client connector]</t>
    </r>
  </si>
  <si>
    <r>
      <rPr>
        <b/>
        <sz val="12"/>
        <color theme="1"/>
        <rFont val="Arial"/>
        <family val="2"/>
      </rPr>
      <t>CONTROL CONTEXT</t>
    </r>
    <r>
      <rPr>
        <sz val="10"/>
        <color theme="1"/>
        <rFont val="Arial"/>
        <family val="2"/>
      </rPr>
      <t xml:space="preserve">
Security controls that apply to non-virtualised (physical) systems are equally applicable to virtual systems. The additional virtualisation layer needs extra attention from a security perspective. The uncontrolled proliferation of VMs could lead to unaccounted machines with the risk of unmanaged, unpatched systems open to unauthorised access to data.
If appropriate controls have been implemented to this underlying layer, then Swift does not limit the use of virtual technology for any component of the user's Swift infrastructure </t>
    </r>
    <r>
      <rPr>
        <b/>
        <sz val="10"/>
        <color theme="1"/>
        <rFont val="Arial"/>
        <family val="2"/>
      </rPr>
      <t xml:space="preserve">including virtual desktops </t>
    </r>
    <r>
      <rPr>
        <sz val="10"/>
        <color theme="1"/>
        <rFont val="Arial"/>
        <family val="2"/>
      </rPr>
      <t>or the associated supporting infrastructure (for example, virtual firewalls).</t>
    </r>
  </si>
  <si>
    <t>[Advisory: customer client connector]</t>
  </si>
  <si>
    <r>
      <t>•</t>
    </r>
    <r>
      <rPr>
        <b/>
        <sz val="10"/>
        <color theme="1"/>
        <rFont val="Arial"/>
        <family val="2"/>
      </rPr>
      <t xml:space="preserve"> [Advisory: customer client connector]</t>
    </r>
  </si>
  <si>
    <r>
      <t xml:space="preserve">• </t>
    </r>
    <r>
      <rPr>
        <b/>
        <sz val="10"/>
        <color theme="1"/>
        <rFont val="Arial"/>
        <family val="2"/>
      </rPr>
      <t>Swift-related</t>
    </r>
    <r>
      <rPr>
        <sz val="10"/>
        <color theme="1"/>
        <rFont val="Arial"/>
        <family val="2"/>
      </rPr>
      <t xml:space="preserve"> applications at the service provider</t>
    </r>
  </si>
  <si>
    <r>
      <rPr>
        <b/>
        <sz val="12"/>
        <color theme="1"/>
        <rFont val="Arial"/>
        <family val="2"/>
      </rPr>
      <t>CONTROL STATEMENT</t>
    </r>
    <r>
      <rPr>
        <sz val="10"/>
        <color theme="1"/>
        <rFont val="Arial"/>
        <family val="2"/>
      </rPr>
      <t xml:space="preserve">
The confidentiality and integrity of interactive operator sessions that connect to service provider Swift-related applications or into the user's secure zone is safeguarded.</t>
    </r>
  </si>
  <si>
    <r>
      <rPr>
        <b/>
        <sz val="12"/>
        <color theme="1"/>
        <rFont val="Arial"/>
        <family val="2"/>
      </rPr>
      <t>CONTROL STATEMENT</t>
    </r>
    <r>
      <rPr>
        <sz val="10"/>
        <color theme="1"/>
        <rFont val="Arial"/>
        <family val="2"/>
      </rPr>
      <t xml:space="preserve">
Secure zone (including dedicated operator PC) systems are scanned for vulnerabilities </t>
    </r>
    <r>
      <rPr>
        <b/>
        <sz val="10"/>
        <color theme="1"/>
        <rFont val="Arial"/>
        <family val="2"/>
      </rPr>
      <t>at OS and application 
level</t>
    </r>
    <r>
      <rPr>
        <sz val="10"/>
        <color theme="1"/>
        <rFont val="Arial"/>
        <family val="2"/>
      </rPr>
      <t xml:space="preserve"> using an up-to-date, reputable scanning tool and results, </t>
    </r>
    <r>
      <rPr>
        <b/>
        <sz val="10"/>
        <color theme="1"/>
        <rFont val="Arial"/>
        <family val="2"/>
      </rPr>
      <t>reported by the tool</t>
    </r>
    <r>
      <rPr>
        <sz val="10"/>
        <color theme="1"/>
        <rFont val="Arial"/>
        <family val="2"/>
      </rPr>
      <t>, are considered for appropriate 
resolving actions.</t>
    </r>
  </si>
  <si>
    <r>
      <rPr>
        <b/>
        <sz val="12"/>
        <color theme="1"/>
        <rFont val="Arial"/>
        <family val="2"/>
      </rPr>
      <t>CONTROL CONTEXT</t>
    </r>
    <r>
      <rPr>
        <sz val="10"/>
        <color theme="1"/>
        <rFont val="Arial"/>
        <family val="2"/>
      </rPr>
      <t xml:space="preserve">
The detection of known </t>
    </r>
    <r>
      <rPr>
        <b/>
        <sz val="10"/>
        <color theme="1"/>
        <rFont val="Arial"/>
        <family val="2"/>
      </rPr>
      <t>OS and application</t>
    </r>
    <r>
      <rPr>
        <sz val="10"/>
        <color theme="1"/>
        <rFont val="Arial"/>
        <family val="2"/>
      </rPr>
      <t xml:space="preserve"> vulnerabilities allows vulnerabilities to be analysed, treated, and 
mitigated. The mitigation of vulnerabilities reduces the number of pathways that a malicious actor can use during 
an attack. A vulnerability scanning process that is comprehensive, repeatable, and performed in a timely manner 
is necessary to continuously detect known vulnerabilities and to allow for further action. </t>
    </r>
    <r>
      <rPr>
        <b/>
        <sz val="10"/>
        <color theme="1"/>
        <rFont val="Arial"/>
        <family val="2"/>
      </rPr>
      <t>This control complements 
the control 2.2 by enabling the identification of vulnerabilities potentially not fixed yet.</t>
    </r>
  </si>
  <si>
    <r>
      <t>•</t>
    </r>
    <r>
      <rPr>
        <b/>
        <sz val="10"/>
        <color theme="1"/>
        <rFont val="Arial"/>
        <family val="2"/>
      </rPr>
      <t xml:space="preserve"> [Advisory: systems hosting a customer client connector]</t>
    </r>
  </si>
  <si>
    <r>
      <t xml:space="preserve">•  as per the “Scope of Security Controls” section, the ‘user’s Swift infrastructure’ encompasses the 
collection of, on-premises or remote (that is hosted or operated by a third party, or both), Swift_x0002_components managed by or for users by a third party, including applications, </t>
    </r>
    <r>
      <rPr>
        <b/>
        <sz val="10"/>
        <color theme="1"/>
        <rFont val="Arial"/>
        <family val="2"/>
      </rPr>
      <t>authentication services</t>
    </r>
    <r>
      <rPr>
        <sz val="10"/>
        <color theme="1"/>
        <rFont val="Arial"/>
        <family val="2"/>
      </rPr>
      <t xml:space="preserve">, 
network devices, tokens and other removable media, and supporting hardware.
 </t>
    </r>
  </si>
  <si>
    <r>
      <t>•   this organisational control is applicable when critical Swift-related activities are outsourced to a third party 
or,</t>
    </r>
    <r>
      <rPr>
        <b/>
        <sz val="10"/>
        <color theme="1"/>
        <rFont val="Arial"/>
        <family val="2"/>
      </rPr>
      <t xml:space="preserve"> when relevant as per the notes, to a Swift connectivity</t>
    </r>
    <r>
      <rPr>
        <sz val="10"/>
        <color theme="1"/>
        <rFont val="Arial"/>
        <family val="2"/>
      </rPr>
      <t xml:space="preserve"> provider.
Note: This control remains strongly recommended even when the activities being outsourced are not critical. 
 </t>
    </r>
  </si>
  <si>
    <r>
      <t>•</t>
    </r>
    <r>
      <rPr>
        <b/>
        <sz val="10"/>
        <color theme="1"/>
        <rFont val="Arial"/>
        <family val="2"/>
      </rPr>
      <t>outbound business transactions</t>
    </r>
  </si>
  <si>
    <r>
      <rPr>
        <b/>
        <sz val="10"/>
        <color theme="1"/>
        <rFont val="Arial"/>
        <family val="2"/>
      </rPr>
      <t>Note:</t>
    </r>
    <r>
      <rPr>
        <sz val="10"/>
        <color theme="1"/>
        <rFont val="Arial"/>
        <family val="2"/>
      </rPr>
      <t xml:space="preserve"> </t>
    </r>
    <r>
      <rPr>
        <b/>
        <sz val="10"/>
        <color theme="1"/>
        <rFont val="Arial"/>
        <family val="2"/>
      </rPr>
      <t xml:space="preserve"> Outbound business transactions can originate from components such as a GUI, an interface, a connector or an operator PC used to connect to other internal components or to a service provider</t>
    </r>
    <r>
      <rPr>
        <sz val="10"/>
        <color theme="1"/>
        <rFont val="Arial"/>
        <family val="2"/>
      </rPr>
      <t xml:space="preserve">. Controls are not necessarily performed </t>
    </r>
    <r>
      <rPr>
        <b/>
        <sz val="10"/>
        <color theme="1"/>
        <rFont val="Arial"/>
        <family val="2"/>
      </rPr>
      <t>on those components</t>
    </r>
    <r>
      <rPr>
        <sz val="10"/>
        <color theme="1"/>
        <rFont val="Arial"/>
        <family val="2"/>
      </rPr>
      <t xml:space="preserve"> (in fact, these controls can even be business controls performed outside of the secure zone).</t>
    </r>
    <r>
      <rPr>
        <b/>
        <sz val="10"/>
        <color theme="1"/>
        <rFont val="Arial"/>
        <family val="2"/>
      </rPr>
      <t xml:space="preserve"> Business transaction refers to instructions leading to payment.</t>
    </r>
    <r>
      <rPr>
        <sz val="10"/>
        <color theme="1"/>
        <rFont val="Arial"/>
        <family val="2"/>
      </rPr>
      <t>Reliance on other relevant recent (business) assessment, audit or regulator answers to confirm effectiveness of the control is an option34.</t>
    </r>
  </si>
  <si>
    <r>
      <rPr>
        <b/>
        <sz val="12"/>
        <color theme="1"/>
        <rFont val="Arial"/>
        <family val="2"/>
      </rPr>
      <t>CONTROL CONTEXT</t>
    </r>
    <r>
      <rPr>
        <sz val="10"/>
        <color theme="1"/>
        <rFont val="Arial"/>
        <family val="2"/>
      </rPr>
      <t xml:space="preserve">
Implementing business controls that restrict </t>
    </r>
    <r>
      <rPr>
        <b/>
        <sz val="10"/>
        <color theme="1"/>
        <rFont val="Arial"/>
        <family val="2"/>
      </rPr>
      <t>business</t>
    </r>
    <r>
      <rPr>
        <sz val="10"/>
        <color theme="1"/>
        <rFont val="Arial"/>
        <family val="2"/>
      </rPr>
      <t xml:space="preserve"> transactions to the fullest extent possible reduces the opportunity for the sending (outbound) and, optionally, receiving (inbound) of fraudulent transactions. These restrictions are best determined through an analysis of normal business activity. Parameters can then be set to restrict business to acceptable thresholds based on “normal” activity.</t>
    </r>
  </si>
  <si>
    <r>
      <t>•</t>
    </r>
    <r>
      <rPr>
        <b/>
        <sz val="10"/>
        <color theme="1"/>
        <rFont val="Arial"/>
        <family val="2"/>
      </rPr>
      <t xml:space="preserve"> [Advisory: on-premises or remote (that is hosted or operated by a third party, or both) hardware, hosting a customer client connector]</t>
    </r>
  </si>
  <si>
    <t>• [Advisory: customer client connector]</t>
  </si>
  <si>
    <t>• [Advisory: login process to the customer client connector or to the (operating) system hosting the 
customer connector client]</t>
  </si>
  <si>
    <t>• login process to (operating) systems hosting the messaging interface (including a hosted database), Swift and customer connector (including a related hosted database) and communication interface or a Swift connectivity provider or outsourcing agent Swift-related application.</t>
  </si>
  <si>
    <t>• login process to the messaging interface (including a related hosted database), communication interface, Swift and customer connector (including a related hosted database) or a Swift connectivity provider or outsourcing 
agent Swift-related application.</t>
  </si>
  <si>
    <t>• [Advisory: customer client connector and the operating system hosting it]</t>
  </si>
  <si>
    <r>
      <t xml:space="preserve">• operating systems hosting interfaces, GUI, Swift and customer connectors, </t>
    </r>
    <r>
      <rPr>
        <b/>
        <sz val="10"/>
        <color theme="1"/>
        <rFont val="Arial"/>
        <family val="2"/>
      </rPr>
      <t>Swift connectivity</t>
    </r>
    <r>
      <rPr>
        <sz val="10"/>
        <color theme="1"/>
        <rFont val="Arial"/>
        <family val="2"/>
      </rPr>
      <t xml:space="preserve"> provider or outsourcing agent Swift-related, applications</t>
    </r>
  </si>
  <si>
    <r>
      <t xml:space="preserve">• interfaces, GUI, connectors or </t>
    </r>
    <r>
      <rPr>
        <b/>
        <sz val="10"/>
        <color theme="1"/>
        <rFont val="Arial"/>
        <family val="2"/>
      </rPr>
      <t>Swift connectivity</t>
    </r>
    <r>
      <rPr>
        <sz val="10"/>
        <color theme="1"/>
        <rFont val="Arial"/>
        <family val="2"/>
      </rPr>
      <t xml:space="preserve"> provider or outsourcing agent Swift-related applications</t>
    </r>
  </si>
  <si>
    <t>• systems or virtual machines hosting Swift-related components</t>
  </si>
  <si>
    <t>• Swift-related components (including interfaces, GUI, Swift and customer connectors)</t>
  </si>
  <si>
    <t xml:space="preserve">• [Advisory: customer client connector]
</t>
  </si>
  <si>
    <t>• [Advisory: system hosting a customer client connector]</t>
  </si>
  <si>
    <r>
      <rPr>
        <b/>
        <sz val="12"/>
        <color theme="1"/>
        <rFont val="Arial"/>
        <family val="2"/>
      </rPr>
      <t>CONTROL CONTEXT</t>
    </r>
    <r>
      <rPr>
        <sz val="10"/>
        <color theme="1"/>
        <rFont val="Arial"/>
        <family val="2"/>
      </rPr>
      <t xml:space="preserve">
Malware is a general term that includes many types of intrusive and unwanted software, including viruses. Anti-malware technology (a broader term for anti-virus) </t>
    </r>
    <r>
      <rPr>
        <b/>
        <sz val="10"/>
        <color theme="1"/>
        <rFont val="Arial"/>
        <family val="2"/>
      </rPr>
      <t>or other endpoint protection mechanisms are</t>
    </r>
    <r>
      <rPr>
        <sz val="10"/>
        <color theme="1"/>
        <rFont val="Arial"/>
        <family val="2"/>
      </rPr>
      <t xml:space="preserve"> effective in protecting against malicious code.</t>
    </r>
  </si>
  <si>
    <r>
      <t>• [Advisory: Customer</t>
    </r>
    <r>
      <rPr>
        <b/>
        <sz val="10"/>
        <color theme="1"/>
        <rFont val="Arial"/>
        <family val="2"/>
      </rPr>
      <t xml:space="preserve"> client </t>
    </r>
    <r>
      <rPr>
        <sz val="10"/>
        <color theme="1"/>
        <rFont val="Arial"/>
        <family val="2"/>
      </rPr>
      <t>connector]</t>
    </r>
  </si>
  <si>
    <r>
      <t xml:space="preserve">• </t>
    </r>
    <r>
      <rPr>
        <b/>
        <sz val="10"/>
        <color theme="1"/>
        <rFont val="Arial"/>
        <family val="2"/>
      </rPr>
      <t>Local</t>
    </r>
    <r>
      <rPr>
        <sz val="10"/>
        <color theme="1"/>
        <rFont val="Arial"/>
        <family val="2"/>
      </rPr>
      <t xml:space="preserve"> RMA</t>
    </r>
  </si>
  <si>
    <r>
      <t xml:space="preserve">• databases for messaging interface products, including a related hosted database
• </t>
    </r>
    <r>
      <rPr>
        <b/>
        <sz val="10"/>
        <color theme="1"/>
        <rFont val="Arial"/>
        <family val="2"/>
      </rPr>
      <t>[Advisory:</t>
    </r>
    <r>
      <rPr>
        <sz val="10"/>
        <color theme="1"/>
        <rFont val="Arial"/>
        <family val="2"/>
      </rPr>
      <t xml:space="preserve"> databases for customer </t>
    </r>
    <r>
      <rPr>
        <b/>
        <sz val="10"/>
        <color theme="1"/>
        <rFont val="Arial"/>
        <family val="2"/>
      </rPr>
      <t>(client)</t>
    </r>
    <r>
      <rPr>
        <sz val="10"/>
        <color theme="1"/>
        <rFont val="Arial"/>
        <family val="2"/>
      </rPr>
      <t xml:space="preserve"> connector, including a related hosted database]
Note: this requirement is not applicable for Architecture A1 if the infrastructure does not include a messaging 
interface and for Architecture A4 if there is no database linked to the customer </t>
    </r>
    <r>
      <rPr>
        <b/>
        <sz val="10"/>
        <color theme="1"/>
        <rFont val="Arial"/>
        <family val="2"/>
      </rPr>
      <t>(client)</t>
    </r>
    <r>
      <rPr>
        <sz val="10"/>
        <color theme="1"/>
        <rFont val="Arial"/>
        <family val="2"/>
      </rPr>
      <t xml:space="preserve"> connector.</t>
    </r>
  </si>
  <si>
    <r>
      <rPr>
        <b/>
        <sz val="12"/>
        <color theme="1"/>
        <rFont val="Arial"/>
        <family val="2"/>
      </rPr>
      <t>CONTROL STATEMENT</t>
    </r>
    <r>
      <rPr>
        <sz val="10"/>
        <color theme="1"/>
        <rFont val="Arial"/>
        <family val="2"/>
      </rPr>
      <t xml:space="preserve">
A database integrity check is performed at regular intervals on databases that record transactions and results are considered for appropriate resolving action.</t>
    </r>
  </si>
  <si>
    <r>
      <rPr>
        <b/>
        <sz val="12"/>
        <color theme="1"/>
        <rFont val="Arial"/>
        <family val="2"/>
      </rPr>
      <t>CONTROL CONTEXT</t>
    </r>
    <r>
      <rPr>
        <sz val="10"/>
        <color theme="1"/>
        <rFont val="Arial"/>
        <family val="2"/>
      </rPr>
      <t xml:space="preserve">
A security training and awareness programme encourages conscious and appropriate security behaviour of employees and administrators, and generally reinforces good security practice. In addition, it is particularly important that privileged access users have and maintain appropriate knowledge and expertise </t>
    </r>
    <r>
      <rPr>
        <b/>
        <sz val="10"/>
        <color theme="1"/>
        <rFont val="Arial"/>
        <family val="2"/>
      </rPr>
      <t>related to their specific environment or architecture.</t>
    </r>
  </si>
  <si>
    <r>
      <t xml:space="preserve">• </t>
    </r>
    <r>
      <rPr>
        <b/>
        <sz val="10"/>
        <color theme="1"/>
        <rFont val="Arial"/>
        <family val="2"/>
      </rPr>
      <t>[Advisory: customer client connector</t>
    </r>
    <r>
      <rPr>
        <sz val="10"/>
        <color theme="1"/>
        <rFont val="Arial"/>
        <family val="2"/>
      </rPr>
      <t>]</t>
    </r>
  </si>
  <si>
    <r>
      <t>1.3</t>
    </r>
    <r>
      <rPr>
        <b/>
        <sz val="11"/>
        <rFont val="Arial"/>
        <family val="2"/>
      </rPr>
      <t xml:space="preserve"> (Advisory for B)</t>
    </r>
  </si>
  <si>
    <t>2.1</t>
  </si>
  <si>
    <t>2.2</t>
  </si>
  <si>
    <t>2.3</t>
  </si>
  <si>
    <t>5.2</t>
  </si>
  <si>
    <t>5.4</t>
  </si>
  <si>
    <t>6.1</t>
  </si>
  <si>
    <t>6.4</t>
  </si>
  <si>
    <t>7.1</t>
  </si>
  <si>
    <t>7.2</t>
  </si>
  <si>
    <t>1.1</t>
  </si>
  <si>
    <t>1.4</t>
  </si>
  <si>
    <t>2.6</t>
  </si>
  <si>
    <t>CSCF Assessment template instructions - Mandatory controls - Version 2025</t>
  </si>
  <si>
    <t>Update with v2025</t>
  </si>
  <si>
    <t>1.2</t>
  </si>
  <si>
    <t>1.3</t>
  </si>
  <si>
    <t>2.7</t>
  </si>
  <si>
    <t>2.8</t>
  </si>
  <si>
    <t>2.9</t>
  </si>
  <si>
    <t>3.1</t>
  </si>
  <si>
    <t>4.1</t>
  </si>
  <si>
    <t>4.2</t>
  </si>
  <si>
    <t>5.1</t>
  </si>
  <si>
    <t>6.2</t>
  </si>
  <si>
    <t>6.3</t>
  </si>
  <si>
    <r>
      <rPr>
        <b/>
        <sz val="12"/>
        <color theme="1"/>
        <rFont val="Arial"/>
        <family val="2"/>
      </rPr>
      <t>CONTROL CONTEXT</t>
    </r>
    <r>
      <rPr>
        <sz val="10"/>
        <color theme="1"/>
        <rFont val="Arial"/>
        <family val="2"/>
      </rPr>
      <t xml:space="preserve">
Direct access to the Internet raises exposure to internet-based attacks. Risk is even higher in case of human interactions (browsing, e-mails, or other social network activities being permitted). Once compromised, those systems can be an entry point that allows lateral movements or injection of command and control elements (or a combination of both).
If reducing the attack surface and vulnerabilities of those systems (as per the relevant controls identified in this document) is primordial, then limiting and controlling direct Internet accesses is crucial.
On top of (general) operator PCs that connect Swift-related services or applications offered by outsourcing agents,Swift
 (in the case of Alliance Lite2 or Alliance Cloud) </t>
    </r>
    <r>
      <rPr>
        <b/>
        <sz val="10"/>
        <color theme="1"/>
        <rFont val="Arial"/>
        <family val="2"/>
      </rPr>
      <t>or Swift connectivity providers</t>
    </r>
    <r>
      <rPr>
        <sz val="10"/>
        <color theme="1"/>
        <rFont val="Arial"/>
        <family val="2"/>
      </rPr>
      <t>, due diligence must be taken to secure (general) operator PCs used to access on-premises interfaces or GUIs. Insecurely combining access to the “production environment” and the Internet could be abused by attackers.</t>
    </r>
  </si>
  <si>
    <r>
      <rPr>
        <b/>
        <sz val="12"/>
        <color theme="1"/>
        <rFont val="Arial"/>
        <family val="2"/>
      </rPr>
      <t>CONTROL OBJECTIVE</t>
    </r>
    <r>
      <rPr>
        <sz val="10"/>
        <color theme="1"/>
        <rFont val="Arial"/>
        <family val="2"/>
      </rPr>
      <t xml:space="preserve">
Protect the confidentiality and integrity of interactive operator sessions that connect to the on-premises or remote (operated by a service provider) Swift infrastructure or to a service provider Swift-related applications.</t>
    </r>
  </si>
  <si>
    <r>
      <t xml:space="preserve">Note:
• Notes:
- Use </t>
    </r>
    <r>
      <rPr>
        <b/>
        <sz val="10"/>
        <color theme="1"/>
        <rFont val="Arial"/>
        <family val="2"/>
      </rPr>
      <t>section “F) Outsourcing” of the “Scope of Security Controls” for proper scoping and expectations from 
the users engaging with third parties.</t>
    </r>
    <r>
      <rPr>
        <sz val="10"/>
        <color theme="1"/>
        <rFont val="Arial"/>
        <family val="2"/>
      </rPr>
      <t xml:space="preserve">
- This control remains strongly recommended even when the activities being outsourced are not critical. </t>
    </r>
  </si>
  <si>
    <r>
      <rPr>
        <b/>
        <sz val="12"/>
        <color theme="1"/>
        <rFont val="Arial"/>
        <family val="2"/>
      </rPr>
      <t>CONTROL CONTEXT</t>
    </r>
    <r>
      <rPr>
        <sz val="10"/>
        <color theme="1"/>
        <rFont val="Arial"/>
        <family val="2"/>
      </rPr>
      <t xml:space="preserve">
When critical activities are outsourced to third parties or</t>
    </r>
    <r>
      <rPr>
        <b/>
        <sz val="10"/>
        <color theme="1"/>
        <rFont val="Arial"/>
        <family val="2"/>
      </rPr>
      <t xml:space="preserve"> Swift connectivity</t>
    </r>
    <r>
      <rPr>
        <sz val="10"/>
        <color theme="1"/>
        <rFont val="Arial"/>
        <family val="2"/>
      </rPr>
      <t xml:space="preserve"> providers </t>
    </r>
    <r>
      <rPr>
        <b/>
        <sz val="10"/>
        <color theme="1"/>
        <rFont val="Arial"/>
        <family val="2"/>
      </rPr>
      <t>acting as Outsourcing Agent</t>
    </r>
    <r>
      <rPr>
        <sz val="10"/>
        <color theme="1"/>
        <rFont val="Arial"/>
        <family val="2"/>
      </rPr>
      <t xml:space="preserve">, it is essential that at a minimum, the original 
standard of care for security is maintained (in addition to adherence to this customer security control framework) 
to make sure that no new weaknesses or vulnerabilities are introduced. </t>
    </r>
    <r>
      <rPr>
        <b/>
        <sz val="10"/>
        <color theme="1"/>
        <rFont val="Arial"/>
        <family val="2"/>
      </rPr>
      <t>The user’s Swift infrastructure may face 
additional weaknesses or vulnerabilities due to its external exposure (to external resources or services) or its 
remote nature (when hosted in the cloud or with an external IT provider).</t>
    </r>
    <r>
      <rPr>
        <sz val="10"/>
        <color theme="1"/>
        <rFont val="Arial"/>
        <family val="2"/>
      </rPr>
      <t xml:space="preserve">
Note: 
• Swift defines</t>
    </r>
    <r>
      <rPr>
        <b/>
        <sz val="10"/>
        <color theme="1"/>
        <rFont val="Arial"/>
        <family val="2"/>
      </rPr>
      <t>, at a minimum</t>
    </r>
    <r>
      <rPr>
        <sz val="10"/>
        <color theme="1"/>
        <rFont val="Arial"/>
        <family val="2"/>
      </rPr>
      <t xml:space="preserve">, the following activities related to the user’s Swift infrastructure, as critical:
− security management and change management of the hardware, including HSM, and software 
(including applications, operating system, and underlying virtualised platform or infrastructure).
− RMA and Business Transaction controls related operations (in support of controls 2.9 and 2.11)
                                        − accessing sensitive user data (for example, message content).                                                                                                                                                                                                                               − monitoring of events that contain sensitive user data.
− network management and configuration.
− Swift-related transaction operations (for example, creation or modification of a </t>
    </r>
    <r>
      <rPr>
        <b/>
        <sz val="10"/>
        <color theme="1"/>
        <rFont val="Arial"/>
        <family val="2"/>
      </rPr>
      <t xml:space="preserve">business </t>
    </r>
    <r>
      <rPr>
        <sz val="10"/>
        <color theme="1"/>
        <rFont val="Arial"/>
        <family val="2"/>
      </rPr>
      <t>transaction message within an interface or a connector)
− security administration of the users entitlements, their tokens or (private) keys needed to perform Swift related transaction operations 
− Ancillary services operations when sharing/reusing, for those ancillary services, credentials and 
roles/entitlements (accounts) used for Swift-related transaction operations. Otherwise, such 
separated/independent ancillary services accesses are not to be considered as in scope.
• External contractors are not always considered as third party resources:
− if those external contractors are members of the institution task force as contributors, then they are considered user’s employees
− however, if external contractors manage or operate user’s components remotely with their company equipment, as part of a managed service contractual agreement, they are considered as third-party resources.</t>
    </r>
  </si>
  <si>
    <r>
      <t xml:space="preserve">This template is provided for convenience; SWIFT recommends that independent assessors, involved in the assessment of the Customer Security Controls Framework (CSCF) controls implementation for a SWIFT user, use it to document the assessment results. This workbook provides guidelines that apply only the </t>
    </r>
    <r>
      <rPr>
        <b/>
        <u/>
        <sz val="10"/>
        <rFont val="Arial"/>
        <family val="2"/>
      </rPr>
      <t>CSCF v2025 mandatory controls</t>
    </r>
    <r>
      <rPr>
        <sz val="10"/>
        <rFont val="Arial"/>
        <family val="2"/>
      </rPr>
      <t xml:space="preserve">; a separate file is available for assessing CSCF advisory controls. </t>
    </r>
    <r>
      <rPr>
        <b/>
        <sz val="10"/>
        <rFont val="Arial"/>
        <family val="2"/>
      </rPr>
      <t>The changes in comparison with v2024 are highlighted in bold.</t>
    </r>
  </si>
  <si>
    <r>
      <t xml:space="preserve">&lt;Observations &amp; response justification - address all subordinate implementation details as documented in the CSCF&gt;
</t>
    </r>
    <r>
      <rPr>
        <sz val="10"/>
        <color theme="1"/>
        <rFont val="Arial"/>
        <family val="2"/>
      </rPr>
      <t>Swift in-scope components are hosted on a specific server and the zone is secured through segregation using dedicated firewalls to create a logical separation.</t>
    </r>
  </si>
  <si>
    <r>
      <t xml:space="preserve">&lt;Observations &amp; response justification - address all subordinate implementation details as documented in the CSCF&gt;
</t>
    </r>
    <r>
      <rPr>
        <sz val="10"/>
        <color theme="1"/>
        <rFont val="Arial"/>
        <family val="2"/>
      </rPr>
      <t>Access to the secure-zone is restricted to specified administrators further this is controlled through Active Directory that is defined based on Seperation of Duty, need to know and least provilege principle.</t>
    </r>
  </si>
  <si>
    <r>
      <t xml:space="preserve">&lt;Observations &amp; response justification - address all subordinate implementation details as documented in the CSCF&gt;
</t>
    </r>
    <r>
      <rPr>
        <sz val="10"/>
        <color theme="1"/>
        <rFont val="Arial"/>
        <family val="2"/>
      </rPr>
      <t xml:space="preserve">Access to the secure-zone using remote access is controlled through VPN encryption.  </t>
    </r>
    <r>
      <rPr>
        <sz val="10"/>
        <color theme="0" tint="-0.499984740745262"/>
        <rFont val="Arial"/>
        <family val="2"/>
      </rPr>
      <t xml:space="preserve"> </t>
    </r>
  </si>
  <si>
    <t>Yes</t>
  </si>
  <si>
    <t>No</t>
  </si>
  <si>
    <r>
      <t xml:space="preserve">&lt;Observations &amp; response justification - address all subordinate implementation details as documented in the CSCF&gt;
</t>
    </r>
    <r>
      <rPr>
        <sz val="10"/>
        <color theme="1"/>
        <rFont val="Arial"/>
        <family val="2"/>
      </rPr>
      <t>Separation from general enterprise IT services is achieved by hosting Swift in-scope component (SFTP) on dedicated server that is further separated using Active Directory, firewalls and network switches.</t>
    </r>
  </si>
  <si>
    <r>
      <t xml:space="preserve">&lt;Observations &amp; response justification - address all subordinate implementation details as documented in the CSCF&gt;
</t>
    </r>
    <r>
      <rPr>
        <sz val="10"/>
        <color theme="1"/>
        <rFont val="Arial"/>
        <family val="2"/>
      </rPr>
      <t>Network level diagram demonstrates network level segregation and presence of firewalls for boundary proectection.  Firewalls are configured for protection of the Swift in-scope components.  Firewalls rules are setup with "deny all" principle.  Firewalls are reviewed on monthly basis and all connections via firewalls are logged and monitored.  A firewall review was conducted by an external third party, LRQA, (refer to evidence Firewall Reviews - Technical Report - 05 Nov 2024), the report concluded that there were 0 Critical, 3 high findings that were subsequently remediated.</t>
    </r>
  </si>
  <si>
    <t>ABC Bank UK</t>
  </si>
  <si>
    <t xml:space="preserve">&lt;Observations &amp; response justification - address all subordinate implementation details as documented in the CSCF&gt;
ABCUK's IT admin level operating system accounts are restricted through Server Manager (refer to evidence Swift Admin tab in evidence 1 and 3. Swift SFTP Connector) Active Directory.  NPS Security Group properties and network policy server setting were defined through RADIUS client and server.
Management confirmed that "root" account is only used in circumstances where sudo or other privileged accounts cannot be used and followed a break-glass procedure. 
All activities performed using admin accounts are logged through a central logging and monitoring tool, refer to control 6.4 for further details.
Access to admin passwords required a change ticket that was requested and approved by two different users (refer to evidence CH-468 IT Hlpdesk - Change Request.pdf).
</t>
  </si>
  <si>
    <t xml:space="preserve">&lt;Observations &amp; response justification - address all subordinate implementation details as documented in the CSCF&gt;
A Network Configuration Policy is defined by ABCUK's which was last reviewed in August 2025.  The policy states that "Networks will be segregated to prevent access overlap and to minimise the impact of any threat to the network".
Through inspection of the network diagram it was noted that the Windows server used for hosting SFTP connection that processes traffic to the service bureau is isolated through network level segregation.  Architecture diagram (evidence ABCUK - Network Diagram v2.3) was reviewed which demonstrated that a segregated environment is implemented for the server hosting SFTP connection that connects to Service Bureau (Service Bureau).  
Dedicated firewalls provide logical seperation for the Swift secrue zone so that there is no leak from one Active Directory to another.    Environment is further separeated through Access Controls List, application firewalls, network swtiches and encryption.
</t>
  </si>
  <si>
    <t>&lt;Observations &amp; response justification - address all subordinate implementation details as documented in the CSCF&gt;
ABCUK has defined an Access Control Policy that approved in August 2025, which states that data is required to be protected from unauthorised access to computer, application and operating systems through authentication standards (ABCUK-STD-ALL-008).  
It was noted that encryption for securing data in motion using TLS 1.3, AES_128_GCM. The traffic between ABCUK and Service Bureau is encrypted and using SSH protocol is used to connect to servers and for integrity verification SHA-384 is used. 
SWIFT Operators use GUI to access the messaging interface provided by the service bureau.  There is no provision of keying in payments directly through the interface these can only be verified and authorised via the GUI.  
In-activity timeout is lock the screen is configured on ABCUK's devices including in-scope Opeartor PC.  The operators are required to enter their credentials to log back into the system GUI timeout is set to 300 seconds.</t>
  </si>
  <si>
    <t xml:space="preserve">&lt;Observations &amp; response justification - address all subordinate implementation details as documented in the CSCF&gt;
ABCUK has defined a Vulnerability Management Policy (ABCUK-POL-ALL-014) that was last reviewed in August 2025.  The policy states that the process requires identification of vulnerabilities and treatment.
Vulnerabilities are reviewed in line with organisations policy and the review is conducted periodically as evidenced with ABCUK's policies in place and VAPT reports. IBM QRadar tool is used for identification and management of vulnerabilities (refer to 10. QRadar Vulnerability Scan screenshot).  
It was noted from the review of pentest report that an internal infrastructure security testing was undertaken by a third party LRQA, Nettitude, and that the report highlighed a number of vulnerabilities.  It was also noted from evidence Vulnerabilities Tracking2024.xlsx that critical and high vulnerabilities were remediated.   Third party management policies and procedures are also maintained so that patches can be received from various vendors and be implemented in a timely fashion. 
Patch management system is deployed that highlights patch status against assets.  Vendor patches and updates are installed as per ABCUK's patch management policy and rating communicated by the vendor. Priority patches are analysed, tested and undergo change management procedures (refer to change process evidence 4. Change Management Process Diagram.pdf).  All patches are delivered to the PMP (Patch Manager Plus) and are evaluated by ABCUK's personnel identified, as responsible, in the relevant policies such as the Infra team, Cyber Security officer, Head of IT. Patch lifecycle process commences following approval process completion by the responsible personnel at ABCUK.
</t>
  </si>
  <si>
    <t xml:space="preserve">&lt;Observations &amp; response justification - address all subordinate implementation details as documented in the CSCF&gt;
ABCUK has demonstrated via screenshot evidence provided that a password policy is implemented using the Active Directory and changes are pushed to devices using the GPO. The SWIFT applications and passwords are configured in line with SWIFT guidelines by the service bureau. Review of evidence Screenshot 1.3 1.4 1.5 4.2 demonstrated that 2FA authentication is enabled for SWIFT messaging interface provided by Service Bureau.
Active Directory password configuration is in place, refer to 4.1 - AD GPO Password Configuration.png, the evidence demonstrates that password policy is used for enforcing complexity and length through the organisation vis the Active Directory and pused using the GPO. Passwords are required to be changed after 90 days otherwise the account is locked out.  Passwords are encrypted while stored and transmitted and are not displayed.  There are no provisions of hardcoded password in scripts, user manual, procedures (operational) or knowledge base document. Accounts are locked‐out after 3 failed attempts. </t>
  </si>
  <si>
    <t xml:space="preserve">&lt;Observations &amp; response justification - address all subordinate implementation details as documented in the CSCF&gt;
ABCUK Swift operators access to Swift messaging interface, Fusion Total Messaging system, is through a graphical user interface (GUI) provided by Service Bureau service bureau.  Access to the GUI requires password and second Factor Authentication, refer to evidence Screenshot 1.3 1.4 1.5 4.2, both password and One-Time code is required to access the application.  .  
Remote users of SWIFT environment access the GUI through Citrix XenApp that requires 2FA and then use the mechanism implemented by the service provider for accessing the Swift messaging system.
</t>
  </si>
  <si>
    <t xml:space="preserve">&lt;Observations &amp; response justification - address all subordinate implementation details as documented in the CSCF&gt;
Inquiry with management of ABCUK concluded that physical tokens are not in use for the bank.  The maintenance and operation of HSM devices is carried out by the bureau service, Service Bureau. 
Remote PC operators use Microsoft two factor authentication (2FA) for one-time password code.  Remote operators then logon to SWIFT messaging interface, via GUI, hosted by third party that requires further authentication of password and One-Time Code (refer to evidence Screenshot 1.3 1.4 1.5 4.2.xlsx).     </t>
  </si>
  <si>
    <t xml:space="preserve">&lt;Observations &amp; response justification - address all subordinate implementation details as documented in the CSCF&gt;
ABCUK defined Access Control Policy, last reviewed in August 2025, that requires passwords to be stored using password managers.  The policy states that passwords are not permitted to be written down, passwords to be encrypted at rest or when transmitted (see other related controls for Active Directory use).
Inquiry with ABCUK management concluded that the passwords were not hardcoded or kept in scripts, user manual procedures or in any knowledge base document. 
</t>
  </si>
  <si>
    <t>&lt;Observations &amp; response justification - address all subordinate implementation details as documented in the CSCF&gt;
ABCUK's Vulnerability Management Policy defines an Anti-Malware solution to be present and procured through a reputable authorised vendor.  The policy was last reviewed in August 2025.
ABCUK has deployed Sophos Intercept X (Sophos) for malware protection. Malware scans are scheduled for a daily run and background scanning is performed live. Vendor recommended settings are followed throughout and change management and config management is maintained. Daily scans include all drives including shared, executables, libs and scripts and dll files on the PC.
The Sophos a full scan is configured to scan on a weekly basis. Scanning is configured to run on all files on the PC. The tool is tied to incident detection and response, that is capable of alerting when a potential unwanted application or file is detected and incident response kicks in.</t>
  </si>
  <si>
    <t xml:space="preserve">&lt;Observations &amp; response justification - address all subordinate implementation details as documented in the CSCF&gt;
ABCUK has defined monitoring and altering of all information System Assets as per their Vulnerability Management Policy that was last reviewed in August 2025.  
Inquiry with management concluded that all logging and monitoring is through a ABCUK's group level tool, Centrify.  Event monitoring and logging is managed by 3rd Party, Nettitude, and is configured on all applications and auto ticketed for further intervention and investigation.  Severity level of the events drive the category and is triggered using right measures and respective personnel is alerted accordingly through.  A Group Policy object (GPO) is maintained by to achieve the security settings (detailing Global &amp; Inbound &amp; Outbound rules), Any incidents with higher priority (P1 &amp; P2) are dealt with in conjunction with the operations team and management following ABCUK-PRC-ALL-012 - Incident Response Procedure as appropriate using Change Management process.  Access to the secure zone is logged and is granted through control process and any alerting is raised via email for action as well as dashboard.  
Application logs are maintained for a 12 month period and protected from compromise through backup.  PC, firewall and database audit logs are kept for a 12 month period, in line with the organisation policy.
Suspicious log-in activities are alerted for and events are analysed (manually/ automatically) using vendor tool.  A statistics/analysis report is provided by the 3rd party security operations centre on monthly basis highlighting any trends or anomalies. 
</t>
  </si>
  <si>
    <t>&lt;Observations &amp; response justification - address all subordinate implementation details as documented in the CSCF&gt;
ABCUK provides security training to it's personnel through KnowBe4 (Cyber Security Awareness Training) and Cascade (Compliance training) training partners platform.  Intranet based training modules are required for completion by all staff members on a quarterly basis.  The training is monitored for completion and individuals who have not completed the required mandatory modules are sent reminders and then followed up by contacting the individual's manager for action.  
SWIFT operators complete training modules are per ABCUK's requirement.  Subject matter experts (SME), have expertise in infrastructure, for any SWIFT related queries SMEs/ IT Team contact Service Bureau, for support.  ABCUK system designer and infrastructure team have appreciation of the cyber security and changes has to be authorised by the security team to ensure that the changes to do not introduce any cyber risks.
Regular emails for phishing exercise are sent to all users as part of the training methods.  Internal Communications team also send emails on regular intervals educating staff on various hacking methods, such as Phishing &amp; Smishing (evidence an email sent out by the Internal Communications team titled:  Detecting Phishing Emails &amp; Protection from Smishing Attacks.msg)
In order to keep staff current on trending threats and scam targeted campaigns are posted on intranet page on how to stay safe from rising threats and scams e.g. keyless entry car theft on the rise; recent data breaches; social media etc and access to cyber newsletter.</t>
  </si>
  <si>
    <t>&lt;Observations &amp; response justification - address all subordinate implementation details as documented in the CSCF&gt;
Architecture diagram (evidence ABCUK - Network Diagram v2.3) was reviewed and it was noted that a segregated environment is implemented for the server hosting SFTP connection that connects to Service Bureau (Service Bureau).
ABCUK's Swift in-scope virtual servers are managed using vShphere Client (refer to evidence tab 1.3 of Screenshot 1.3 1.4 1.5 4.2.xls) and are integrated with Active Directory for password policy enforcement.  VM are protected through switches and firewalls (SONICWWALL).  The evidence also demonstrated that ABC bank has implemented Multi-Factor authencation for accessing Citirx Workspace environment.  VMware ESXi servers are managed by third party as Infrastructure as a Software (IaaS).  
Pentest report evidence Penetration_Test_ABC Bank (UK) Limited_Internal Infrastructure_2024-11-21.pdf was reviewed and it was noted that vulnerabilities against VMware ESXi 7.0 / 8.0 were identified.  Evidence Vulnerabilities Tracking 2024.xlsx demonstrates that Critical and High vulnerabilities were tracked and resolved.
Vulnerability management and patch management tools are deployed for monitoring and continous scanning of the ABCUK estate.
Logging and monitoring of Swift in-scope infrastructure is configured to send alerts to Centrify, a group level tool.</t>
  </si>
  <si>
    <t xml:space="preserve">&lt;Observations &amp; response justification - address all subordinate implementation details as documented in the CSCF&gt;
Internet access is restricted on servers hosting SFTP connection to service bureau for Swift connectivity.  Screenshot evidence (refer to tab 1.4, Screenshot 1.3, 1.4, 1.5, 4.2) demonstrated that internet access cannot be established to google.com from ABCUKDC2-AR01 server and all packets were lost showing 100% loss.
Internet access is controlled on the general operator PCs which is achieved through whitelisted IP/ URL destination using proxy content inspection.  Barracuda proxy is used to impelent whitelisting and blacklisting using TLS 1.3 and AES_128_GCM encryption is in use for accessing the interfaces.  </t>
  </si>
  <si>
    <t xml:space="preserve">&lt;Observations &amp; response justification - address all subordinate implementation details as documented in the CSCF&gt;
ABCUK  has defined Vulnerability Management Policy, Standard and Procedure (evidence ABCUK-POL-ALL-014, ABCUK, STD-ALL-033 and ABCUK-PRC-ALL-015).  The Policy was last reviewed in August 2025.
Through inspection of evidence provided (refer to evidence 1 and 3 Swift SFTP Connection) it was noted that Swift connection is established through VMware Platform and Cirix servers were used for ABCUK users for remote connectivity.  These connections were established through Microsoft Windows Server 2022 (64-bit) servers that are vendor supported till 2026. It was further noted that asset list registered (evidence ABCUK Assets Review 25Q3) was maintained by the organisation and operator laptops and desktop were on vendor supported versions.
</t>
  </si>
  <si>
    <t>&lt;Observations &amp; response justification - address all subordinate implementation details as documented in the CSCF&gt;
ABCUK  has a defined policy for System Configuration (refer to evidence System Configuration &amp; Maintenance Policy) that was last reviewed in August 2025.  This policy states that a configuration baseline to be created for all systems implemented and to be stored in a configuration management repositary or equivalent and that it adheres to industry best practices such as:  removal of vendor defaults and default accounts, encryption requirement for addmin access and updating configuration standards based on Vulnerability management procedure etc.  .
The ISO 27001 certification (evidence Audit Summary Report _The Audit.pdf) was reviewed, it was noted that it demonstrates that Security standards are observed and there were 0 (Zero)/ no major findings. System hardening is held in conjunction with Vulnerability Management, where operating systems are scanned and flaws identified. The output of scans are sent to the system hardening process for optimisation of configuration management. 
GPOs are used to push updates and configuration changes to OS as and when required. Disabling USB device ports, updating whitelisting and blacklisting policies, screen lockouts amongst others were provided as evidence for this assessment.
Active Directory security review was conducted by a third party LRQA ABC Bank (UK) Limited - Active Directory Security Review - October 2024 and it was noted that vulnerabilities identified were resolved as per evidence vulnerability tracking (evidence Vulnerability Tracking 2024.xlsx).</t>
  </si>
  <si>
    <t xml:space="preserve">&lt;Observations &amp; response justification - address all subordinate implementation details as documented in the CSCF&gt;
ABCUK has an existing service-level agreement with Third party provider who are providing Infrastructure as a Service (IaaS) for hypervisor management, patching, monitoring and support for VMware/ESXi hosts and that data centres are provided by Colt.  The agreement was signed in 2023 and is valid till 2028 and vendor is ISO27001:2022 compliant. </t>
  </si>
  <si>
    <t xml:space="preserve">&lt;Observations &amp; response justification - address all subordinate implementation details as documented in the CSCF&gt;
ABCUK has defined reconciliation procedure is in place for verification and authorisation of payments on SWIFT Gateway and through back office applications refer to evidence Nostro Recon Procedure.pdf.  All payments are processed through central operations team and end of day reconciliation is performed for zeroise balances and identifying anomalies refer to evidence MM BLOTTER EOD 1-12-2025.msg.  Intraday payments checks are in place and communicated accordingly and anomalies is escalated as per ABCUK's process.
ABCUK has designed controls for payments creator, authoriser and verifier through role groups, that are subject to reviews as per control 5, manage identities and segregate privileges. 6 eye approver roles are allocated to senior management members of the organisation at ABCUK. Evidence RE EBAMON USD DEPO ERSTE.msg demonstrates that 6 eye principle is in use for managing payment. Through inquiry with management it was understood that payments follow system embedded rules of four eye principal and specific payments, over £5m threshold, go through 6 eye approval process. This mechanism is for all straight through processed (STP) and manual payments. 
Payments instructions are communicated to the operations team through back office applications adhering to the procedure and process in place, these instructions then take form of payments.
Reconciliation is carried out in Intellimatch system against SWIFT messages and monitored for payments cut-offs, credit checks.  Payments are reconciled so that: no amounts are outstanding, including outstanding ledger debits to be dealt with;  items match off with zero balance and any differences proposed; explanation on outstanding recs and High value payments to be dealt with immediately.  All the relevant departments are notified for any anomalies, who then take appropriate action to resolve issues identified.  </t>
  </si>
  <si>
    <t xml:space="preserve">&lt;Observations &amp; response justification - address all subordinate implementation details as documented in the CSCF&gt;
ABCUK has defined a Physical Security Policy (refer to evidence ABCUK-POL-ALL-023 - Physical Security Policy.pdf) that was last reviewed in August 2025.  Physical access is controlled on the building using ID cards by the security team. Visitors are escorted at all times and logs are retained for 12 months. 
Review of evidence (refer to IT Helpdesk - Leaver.pdf),  related to Joiner, Leaver &amp; Mover (JML) process demonstrated that access for an employee leaving was followed for revoking access by the system owners.  User entitlement review is carried out quarterly that was prepared and approved by 2 individuals managing the team.  
A CCTV Policy exists for ABCUK (refer to CCTV Policy.pdf), CCTV records are stored for 30 days by the building management company A UK Ltd.
Operator PC's are located in a secure environment. This area is restricted to authorised personnel only. Printers used for SWIFT purposes are isolated and used only for SWIFT and are in a secured location. Only the operations team has access to the area using a digital key. Remote access to ABCUK systems requires VPN connection for accessing enterprise level access.
All employees of ABCUK use corporate secure network to logon to the bank's network through VPN.  Employees are trained on ensuring security while working at home through security training programme.  All new starters go through Cyber Security Program as part of induction and on boarding.
There are no physical devices such as USB, 3s Keys in use by the operators.  Operator PC and jump servers are located in separate domains.  Servers are racked and mounted in DCs a service provided by Frontier Technology Limited (an EKCO Company).  Operator PC do not have USB enabled and also have DLP protection (refer to evidence Screenshot of Frocepoint.png) and to unlock a USB port change control approval is required.  ABCUK data is protected through data classification (refer to evidence Sample Implemented Data Classification.png.
ABCUK is ISO27001:2022 certified, the audit was conducted by an external third party auditors, (refer to evidence Audit Summary Report _ The Brish Assessment Bureau.pdf, section A7.14 Secure disposal or re-use of equipment).  Media &amp; Hardware Disposal Standards and Procedures documents exist for disposal of magnetic, optical and print media and hardware equipment etc.   All media and equipment is required to be disposed as per the respective policy and any deviation requires CTO or Cyber Security and Compliance Director approval.   Media &amp; hardware destruction is outsourced to a third party, EOL IT Ltd, a specialist company for media disposal adhering to the agreement terms.  
Datacenters (two) are managed by a third party - ZYX Technology Limited. Contractual obligations along with SLA's are in place to control physical access to these servers. Logs for entry and exit are maintained and retained for 12 months. 24 by 7 surveillance using CCTV camera's along with IR sensors is kept and recordings stored for 3 months.
</t>
  </si>
  <si>
    <t>&lt;Observations &amp; response justification - address all subordinate implementation details as documented in the CSCF&gt;
ABCUK has an Access Control Policy, the policy was last approved in August 2025, that describes the controls as access authorisation, role based access, prohibiting excessive access, third party accounts and control mechanism to be used. Role based access controls are used on a need to know basis and is reviewed periodically.
Role profiles for SWIFT operators are set up on need and least privilege basis. Segregation of Duty(SoD) is implemented such as the same operator cannot verify and authorise the messages.
Duties are segregated as per:  vendor guidance; business operating model; roles for security officers (LSO &amp; RSO/ primary/ secondary).  There is no payment message keying in capability for the SWIFT operators through message interface, the action taken are to verify or approve the payments that are transmitted from backend connection BCDs.  BCD payments are keyed in by the respected teams under 4 eye principal and dual authorisation.   Operator accounts are setup with profiles enforcing SoD same person cannot verify and authorise a payment within the messaging interface.
User Entitlement Review is carried out on quarterly basis and account revocation is taken care of using the off-boarding procedures refer to evidence IT Helpdsk - Joiner.pdf,  IT Helpdsk - Leaver.pdf and  IT Helpdsk - Mover.pdf.  Process for personnel role change exists, managers are required to take action in transfer of duties.</t>
  </si>
  <si>
    <t xml:space="preserve">&lt;Observations &amp; response justification - address all subordinate implementation details as documented in the CSCF&gt;
ABCUK has defined an Incident Response Policy that was last reviewed in August 2025.  The policy states that it is all employees responsibility to report any incidents arising from cyber threats.
ABCUK's Cyber security incident plan (Incident Response Plan.pdf) is comprehensive and mature, that is exercised (annually).  The plan has clear process to identify the criticality and classification of the incident and to contain it.  It has RACI and includes information on relevant management and departments to be alerted in these events as well as  examples of common information security incidents.  The plan is signed off by the IT Security Committee.  Evidence to show that an external Cyber Security attack exercise was carried by the IS team including third party.  The report produced following this event captures the email compromise event.  Protection of chain of custody and securing evidence is part of security team's remit.
A Business Continuity Plan includes recovery from Cyber Incident and Response as well as Business Continuity. In the event of disaster the Operational resilience plan kicks in and this plan is reviewed annually and tested.  The recovery plan is up to date with, Recovery Point Objectives, contacts, third party alternate sites for business continuity, includes new measures such as social distancing as per Government advised measures etc.
An emergency test message cascade system called Alert Cascade and Cascade are in use to send out messages that demonstrates that all the relevant members of the organisation can be contacted in an emergency.
A procedure for sharing threat information with intelligence sharing organisation, law enforcement or local regulators exists and can be activated should it require. Details of contact points are present in the cyber incident response plan. 
Phishing exercise is carried out to continue to train ABCUK employees for cyber related threat awareness, refer to Information Security - Incident Report - Phishing Email.docx.  Training was provided to incident response team so that individual can respond to incidents in effective manner and appropriate action is carried out to minimise the impact.  
There is a provision in the security incident plan to preserve forensic evidence and any associated evidences.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</si>
</sst>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0"/>
      <color theme="0"/>
      <name val="Arial"/>
      <family val="2"/>
    </font>
    <font>
      <sz val="10"/>
      <color theme="1"/>
      <name val="Arial"/>
      <family val="2"/>
    </font>
    <font>
      <b/>
      <sz val="10"/>
      <color theme="1"/>
      <name val="Arial"/>
      <family val="2"/>
    </font>
    <font>
      <b/>
      <sz val="12"/>
      <color theme="0"/>
      <name val="Arial"/>
      <family val="2"/>
    </font>
    <font>
      <b/>
      <sz val="12"/>
      <color theme="1"/>
      <name val="Arial"/>
      <family val="2"/>
    </font>
    <font>
      <i/>
      <sz val="10"/>
      <color theme="1"/>
      <name val="Arial"/>
      <family val="2"/>
    </font>
    <font>
      <b/>
      <sz val="12"/>
      <name val="Arial"/>
      <family val="2"/>
    </font>
    <font>
      <sz val="12"/>
      <name val="Arial"/>
      <family val="2"/>
    </font>
    <font>
      <b/>
      <sz val="10"/>
      <name val="Arial"/>
      <family val="2"/>
    </font>
    <font>
      <i/>
      <sz val="10"/>
      <name val="Arial"/>
      <family val="2"/>
    </font>
    <font>
      <sz val="10"/>
      <color theme="0" tint="-0.499984740745262"/>
      <name val="Arial"/>
      <family val="2"/>
    </font>
    <font>
      <sz val="10"/>
      <name val="Arial"/>
      <family val="2"/>
    </font>
    <font>
      <b/>
      <sz val="10"/>
      <color rgb="FF0070C0"/>
      <name val="Arial"/>
      <family val="2"/>
    </font>
    <font>
      <b/>
      <sz val="10"/>
      <color rgb="FFC00000"/>
      <name val="Arial"/>
      <family val="2"/>
    </font>
    <font>
      <b/>
      <sz val="10"/>
      <color rgb="FFFFC000"/>
      <name val="Arial"/>
      <family val="2"/>
    </font>
    <font>
      <b/>
      <sz val="11"/>
      <name val="Arial"/>
      <family val="2"/>
    </font>
    <font>
      <b/>
      <u/>
      <sz val="11"/>
      <name val="Arial"/>
      <family val="2"/>
    </font>
    <font>
      <sz val="10"/>
      <color rgb="FF00B050"/>
      <name val="Arial"/>
      <family val="2"/>
    </font>
    <font>
      <b/>
      <u/>
      <sz val="10"/>
      <name val="Arial"/>
      <family val="2"/>
    </font>
    <font>
      <b/>
      <sz val="16"/>
      <color theme="1" tint="0.14999847407452621"/>
      <name val="Arial"/>
      <family val="2"/>
    </font>
    <font>
      <u/>
      <sz val="11"/>
      <color theme="10"/>
      <name val="Calibri"/>
      <family val="2"/>
      <scheme val="minor"/>
    </font>
    <font>
      <b/>
      <sz val="16"/>
      <name val="Arial"/>
      <family val="2"/>
    </font>
    <font>
      <u/>
      <sz val="10"/>
      <color theme="1"/>
      <name val="Arial"/>
      <family val="2"/>
    </font>
    <font>
      <u/>
      <sz val="10"/>
      <color theme="10"/>
      <name val="Arial"/>
      <family val="2"/>
    </font>
    <font>
      <b/>
      <sz val="10"/>
      <color rgb="FFFF0000"/>
      <name val="Arial"/>
      <family val="2"/>
    </font>
  </fonts>
  <fills count="6">
    <fill>
      <patternFill patternType="none"/>
    </fill>
    <fill>
      <patternFill patternType="gray125"/>
    </fill>
    <fill>
      <patternFill patternType="solid">
        <fgColor theme="3"/>
        <bgColor indexed="64"/>
      </patternFill>
    </fill>
    <fill>
      <patternFill patternType="solid">
        <fgColor theme="3" tint="0.39997558519241921"/>
        <bgColor indexed="64"/>
      </patternFill>
    </fill>
    <fill>
      <patternFill patternType="solid">
        <fgColor theme="0"/>
        <bgColor indexed="64"/>
      </patternFill>
    </fill>
    <fill>
      <patternFill patternType="solid">
        <fgColor rgb="FFBCFADA"/>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diagonal/>
    </border>
    <border>
      <left style="thin">
        <color indexed="64"/>
      </left>
      <right/>
      <top/>
      <bottom style="thin">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top/>
      <bottom style="medium">
        <color indexed="64"/>
      </bottom>
      <diagonal/>
    </border>
    <border>
      <left/>
      <right style="thin">
        <color indexed="64"/>
      </right>
      <top/>
      <bottom style="medium">
        <color indexed="64"/>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indexed="64"/>
      </right>
      <top/>
      <bottom style="thin">
        <color theme="1" tint="0.499984740745262"/>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s>
  <cellStyleXfs count="2">
    <xf numFmtId="0" fontId="0" fillId="0" borderId="0"/>
    <xf numFmtId="0" fontId="21" fillId="0" borderId="0" applyNumberFormat="0" applyFill="0" applyBorder="0" applyAlignment="0" applyProtection="0"/>
  </cellStyleXfs>
  <cellXfs count="305">
    <xf numFmtId="0" fontId="0" fillId="0" borderId="0" xfId="0"/>
    <xf numFmtId="49" fontId="2" fillId="0" borderId="0" xfId="0" applyNumberFormat="1" applyFont="1" applyAlignment="1">
      <alignment wrapText="1"/>
    </xf>
    <xf numFmtId="49" fontId="3" fillId="0" borderId="5" xfId="0" applyNumberFormat="1" applyFont="1" applyBorder="1" applyAlignment="1">
      <alignment vertical="center" wrapText="1"/>
    </xf>
    <xf numFmtId="0" fontId="2" fillId="0" borderId="0" xfId="0" applyFont="1"/>
    <xf numFmtId="0" fontId="1" fillId="2" borderId="38"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vertical="center"/>
    </xf>
    <xf numFmtId="0" fontId="2" fillId="0" borderId="3"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vertical="center"/>
    </xf>
    <xf numFmtId="0" fontId="2" fillId="0" borderId="1"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vertical="center"/>
    </xf>
    <xf numFmtId="0" fontId="2"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vertical="center"/>
    </xf>
    <xf numFmtId="0" fontId="3" fillId="0" borderId="5" xfId="0" applyFont="1" applyBorder="1" applyAlignment="1">
      <alignment vertical="center"/>
    </xf>
    <xf numFmtId="0" fontId="3" fillId="0" borderId="7" xfId="0" applyFont="1" applyBorder="1" applyAlignment="1">
      <alignment vertical="center"/>
    </xf>
    <xf numFmtId="49" fontId="3" fillId="0" borderId="10" xfId="0" applyNumberFormat="1" applyFont="1" applyBorder="1" applyAlignment="1">
      <alignment vertical="center" wrapText="1"/>
    </xf>
    <xf numFmtId="0" fontId="7" fillId="0" borderId="46" xfId="0" applyFont="1" applyBorder="1" applyAlignment="1">
      <alignment horizontal="center" vertical="center" wrapText="1"/>
    </xf>
    <xf numFmtId="0" fontId="2" fillId="0" borderId="0" xfId="0" applyFont="1" applyAlignment="1">
      <alignment wrapText="1"/>
    </xf>
    <xf numFmtId="0" fontId="2" fillId="0" borderId="51" xfId="0" applyFont="1" applyBorder="1" applyAlignment="1">
      <alignment horizontal="center" vertical="center"/>
    </xf>
    <xf numFmtId="0" fontId="3" fillId="0" borderId="18" xfId="0" applyFont="1" applyBorder="1" applyAlignment="1">
      <alignment vertical="center"/>
    </xf>
    <xf numFmtId="0" fontId="2" fillId="0" borderId="12" xfId="0" applyFont="1" applyBorder="1" applyAlignment="1" applyProtection="1">
      <alignment horizontal="right" vertical="center"/>
      <protection locked="0"/>
    </xf>
    <xf numFmtId="0" fontId="2" fillId="0" borderId="6" xfId="0" applyFont="1" applyBorder="1" applyAlignment="1" applyProtection="1">
      <alignment horizontal="right" vertical="center"/>
      <protection locked="0"/>
    </xf>
    <xf numFmtId="14" fontId="2" fillId="0" borderId="6" xfId="0" applyNumberFormat="1" applyFont="1" applyBorder="1" applyAlignment="1" applyProtection="1">
      <alignment horizontal="right" vertical="center"/>
      <protection locked="0"/>
    </xf>
    <xf numFmtId="0" fontId="2" fillId="0" borderId="20" xfId="0" applyFont="1" applyBorder="1" applyAlignment="1" applyProtection="1">
      <alignment horizontal="right" vertical="center"/>
      <protection locked="0"/>
    </xf>
    <xf numFmtId="0" fontId="2" fillId="0" borderId="9" xfId="0" applyFont="1" applyBorder="1" applyAlignment="1" applyProtection="1">
      <alignment horizontal="right" vertical="center"/>
      <protection locked="0"/>
    </xf>
    <xf numFmtId="49" fontId="3" fillId="0" borderId="6" xfId="0" applyNumberFormat="1" applyFont="1" applyBorder="1" applyAlignment="1" applyProtection="1">
      <alignment horizontal="center" vertical="center" wrapText="1"/>
      <protection locked="0"/>
    </xf>
    <xf numFmtId="49" fontId="9" fillId="0" borderId="6" xfId="0" applyNumberFormat="1" applyFont="1" applyBorder="1" applyAlignment="1" applyProtection="1">
      <alignment horizontal="center" vertical="center" wrapText="1"/>
      <protection locked="0"/>
    </xf>
    <xf numFmtId="49" fontId="3" fillId="0" borderId="12" xfId="0" applyNumberFormat="1" applyFont="1" applyBorder="1" applyAlignment="1" applyProtection="1">
      <alignment horizontal="center" vertical="center" wrapText="1"/>
      <protection locked="0"/>
    </xf>
    <xf numFmtId="49" fontId="3" fillId="0" borderId="5" xfId="0" quotePrefix="1" applyNumberFormat="1" applyFont="1" applyBorder="1" applyAlignment="1">
      <alignment horizontal="center" vertical="center"/>
    </xf>
    <xf numFmtId="49" fontId="2" fillId="0" borderId="24" xfId="0" applyNumberFormat="1" applyFont="1" applyBorder="1" applyAlignment="1">
      <alignment horizontal="left" vertical="center" wrapText="1"/>
    </xf>
    <xf numFmtId="49" fontId="2" fillId="0" borderId="32" xfId="0" applyNumberFormat="1" applyFont="1" applyBorder="1" applyAlignment="1">
      <alignment horizontal="left" vertical="center" wrapText="1"/>
    </xf>
    <xf numFmtId="0" fontId="3" fillId="4" borderId="5" xfId="0" applyFont="1" applyFill="1" applyBorder="1" applyAlignment="1">
      <alignment horizontal="center" vertical="center"/>
    </xf>
    <xf numFmtId="0" fontId="3" fillId="4" borderId="1" xfId="0" applyFont="1" applyFill="1" applyBorder="1" applyAlignment="1">
      <alignment vertical="center"/>
    </xf>
    <xf numFmtId="0" fontId="2" fillId="4" borderId="1" xfId="0" applyFont="1" applyFill="1" applyBorder="1" applyAlignment="1">
      <alignment horizontal="center" vertical="center"/>
    </xf>
    <xf numFmtId="49" fontId="2" fillId="4" borderId="24" xfId="0" applyNumberFormat="1" applyFont="1" applyFill="1" applyBorder="1" applyAlignment="1">
      <alignment horizontal="left" vertical="center" wrapText="1"/>
    </xf>
    <xf numFmtId="49" fontId="2" fillId="4" borderId="32" xfId="0" applyNumberFormat="1" applyFont="1" applyFill="1" applyBorder="1" applyAlignment="1">
      <alignment horizontal="left" vertical="center" wrapText="1"/>
    </xf>
    <xf numFmtId="49" fontId="2" fillId="4" borderId="27" xfId="0" applyNumberFormat="1" applyFont="1" applyFill="1" applyBorder="1" applyAlignment="1">
      <alignment horizontal="center" vertical="center" wrapText="1"/>
    </xf>
    <xf numFmtId="49" fontId="2" fillId="4" borderId="28" xfId="0" applyNumberFormat="1" applyFont="1" applyFill="1" applyBorder="1" applyAlignment="1">
      <alignment horizontal="center" vertical="center" wrapText="1"/>
    </xf>
    <xf numFmtId="49" fontId="2" fillId="0" borderId="24" xfId="0" applyNumberFormat="1" applyFont="1" applyBorder="1" applyAlignment="1">
      <alignment horizontal="center" vertical="center" wrapText="1"/>
    </xf>
    <xf numFmtId="49" fontId="2" fillId="0" borderId="32" xfId="0" applyNumberFormat="1" applyFont="1" applyBorder="1" applyAlignment="1">
      <alignment horizontal="center" vertical="center" wrapText="1"/>
    </xf>
    <xf numFmtId="49" fontId="2" fillId="0" borderId="0" xfId="0" applyNumberFormat="1" applyFont="1" applyAlignment="1">
      <alignment horizontal="left" vertical="center" wrapText="1"/>
    </xf>
    <xf numFmtId="49" fontId="5" fillId="4" borderId="60" xfId="0" applyNumberFormat="1" applyFont="1" applyFill="1" applyBorder="1" applyAlignment="1">
      <alignment horizontal="center" vertical="center" wrapText="1"/>
    </xf>
    <xf numFmtId="49" fontId="5" fillId="4" borderId="62" xfId="0" applyNumberFormat="1" applyFont="1" applyFill="1" applyBorder="1" applyAlignment="1">
      <alignment horizontal="center" vertical="center" wrapText="1"/>
    </xf>
    <xf numFmtId="49" fontId="5" fillId="0" borderId="59" xfId="0" applyNumberFormat="1" applyFont="1" applyBorder="1" applyAlignment="1">
      <alignment horizontal="center" vertical="center" wrapText="1"/>
    </xf>
    <xf numFmtId="49" fontId="5" fillId="0" borderId="62" xfId="0" applyNumberFormat="1" applyFont="1" applyBorder="1" applyAlignment="1">
      <alignment horizontal="center" vertical="center" wrapText="1"/>
    </xf>
    <xf numFmtId="49" fontId="2" fillId="0" borderId="33" xfId="0" applyNumberFormat="1" applyFont="1" applyBorder="1" applyAlignment="1">
      <alignment horizontal="center" vertical="center" wrapText="1"/>
    </xf>
    <xf numFmtId="49" fontId="2" fillId="0" borderId="28"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3" fillId="0" borderId="1" xfId="0" applyFont="1" applyBorder="1" applyAlignment="1">
      <alignment horizontal="center" vertical="center"/>
    </xf>
    <xf numFmtId="49" fontId="2" fillId="4" borderId="52" xfId="0" applyNumberFormat="1" applyFont="1" applyFill="1" applyBorder="1" applyAlignment="1">
      <alignment horizontal="left" vertical="center" wrapText="1"/>
    </xf>
    <xf numFmtId="49" fontId="2" fillId="4" borderId="50" xfId="0" applyNumberFormat="1" applyFont="1" applyFill="1" applyBorder="1" applyAlignment="1">
      <alignment horizontal="left" vertical="center"/>
    </xf>
    <xf numFmtId="14" fontId="0" fillId="0" borderId="0" xfId="0" applyNumberFormat="1"/>
    <xf numFmtId="14" fontId="0" fillId="0" borderId="0" xfId="0" applyNumberFormat="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0" fillId="0" borderId="1" xfId="0" applyBorder="1" applyAlignment="1">
      <alignment horizontal="left" vertical="top"/>
    </xf>
    <xf numFmtId="49" fontId="2" fillId="0" borderId="33" xfId="0" applyNumberFormat="1" applyFont="1" applyBorder="1" applyAlignment="1">
      <alignment horizontal="left" vertical="center" wrapText="1"/>
    </xf>
    <xf numFmtId="0" fontId="20" fillId="5" borderId="0" xfId="0" applyFont="1" applyFill="1" applyAlignment="1">
      <alignment vertical="center"/>
    </xf>
    <xf numFmtId="0" fontId="20" fillId="5" borderId="13" xfId="0" applyFont="1" applyFill="1" applyBorder="1" applyAlignment="1">
      <alignment horizontal="left" vertical="center" wrapText="1"/>
    </xf>
    <xf numFmtId="0" fontId="22" fillId="5" borderId="13" xfId="0" applyFont="1" applyFill="1" applyBorder="1" applyAlignment="1">
      <alignment horizontal="left" vertical="center" wrapText="1"/>
    </xf>
    <xf numFmtId="0" fontId="2" fillId="0" borderId="3" xfId="0" applyFont="1" applyBorder="1" applyAlignment="1">
      <alignment horizontal="left" vertical="center"/>
    </xf>
    <xf numFmtId="0" fontId="2" fillId="0" borderId="3" xfId="0" applyFont="1" applyBorder="1" applyAlignment="1">
      <alignment vertical="center" wrapText="1"/>
    </xf>
    <xf numFmtId="0" fontId="2" fillId="0" borderId="1" xfId="0" applyFont="1" applyBorder="1" applyAlignment="1">
      <alignment horizontal="left" vertical="center"/>
    </xf>
    <xf numFmtId="0" fontId="2" fillId="0" borderId="11" xfId="0" applyFont="1" applyBorder="1" applyAlignment="1">
      <alignment vertical="center" wrapText="1"/>
    </xf>
    <xf numFmtId="0" fontId="12" fillId="0" borderId="19" xfId="0" applyFont="1" applyBorder="1" applyAlignment="1">
      <alignment vertical="center" wrapText="1"/>
    </xf>
    <xf numFmtId="0" fontId="24" fillId="0" borderId="68" xfId="1" applyFont="1" applyBorder="1" applyAlignment="1">
      <alignment vertical="center" wrapText="1"/>
    </xf>
    <xf numFmtId="0" fontId="2" fillId="0" borderId="1" xfId="0" applyFont="1" applyBorder="1" applyAlignment="1">
      <alignment vertical="center" wrapText="1"/>
    </xf>
    <xf numFmtId="0" fontId="12" fillId="0" borderId="1" xfId="0" applyFont="1" applyBorder="1" applyAlignment="1">
      <alignment vertical="center" wrapText="1"/>
    </xf>
    <xf numFmtId="0" fontId="12" fillId="4" borderId="1" xfId="0" applyFont="1" applyFill="1" applyBorder="1" applyAlignment="1">
      <alignment horizontal="left" vertical="center" wrapText="1"/>
    </xf>
    <xf numFmtId="15" fontId="0" fillId="0" borderId="1" xfId="0" applyNumberFormat="1" applyBorder="1"/>
    <xf numFmtId="49" fontId="5" fillId="0" borderId="19" xfId="0" applyNumberFormat="1" applyFont="1" applyBorder="1" applyAlignment="1">
      <alignment horizontal="center" vertical="center" wrapText="1"/>
    </xf>
    <xf numFmtId="49" fontId="5" fillId="0" borderId="20" xfId="0" applyNumberFormat="1" applyFont="1" applyBorder="1" applyAlignment="1">
      <alignment horizontal="center" vertical="center" wrapText="1"/>
    </xf>
    <xf numFmtId="49" fontId="2" fillId="4" borderId="50" xfId="0" applyNumberFormat="1" applyFont="1" applyFill="1" applyBorder="1" applyAlignment="1">
      <alignment horizontal="left" vertical="center" wrapText="1"/>
    </xf>
    <xf numFmtId="49" fontId="2" fillId="4" borderId="0" xfId="0" applyNumberFormat="1" applyFont="1" applyFill="1" applyAlignment="1">
      <alignment horizontal="left" vertical="center" wrapText="1"/>
    </xf>
    <xf numFmtId="49" fontId="2" fillId="4" borderId="23" xfId="0" applyNumberFormat="1" applyFont="1" applyFill="1" applyBorder="1" applyAlignment="1">
      <alignment horizontal="left" vertical="center" wrapText="1"/>
    </xf>
    <xf numFmtId="0" fontId="0" fillId="0" borderId="32" xfId="0" applyBorder="1"/>
    <xf numFmtId="0" fontId="0" fillId="0" borderId="63" xfId="0" applyBorder="1"/>
    <xf numFmtId="0" fontId="0" fillId="0" borderId="70" xfId="0" applyBorder="1"/>
    <xf numFmtId="49" fontId="2" fillId="0" borderId="63" xfId="0" applyNumberFormat="1" applyFont="1" applyBorder="1" applyAlignment="1">
      <alignment horizontal="center" vertical="center" wrapText="1"/>
    </xf>
    <xf numFmtId="49" fontId="2" fillId="0" borderId="70" xfId="0" applyNumberFormat="1" applyFont="1" applyBorder="1" applyAlignment="1">
      <alignment horizontal="center" vertical="center" wrapText="1"/>
    </xf>
    <xf numFmtId="49" fontId="2" fillId="0" borderId="28" xfId="0" applyNumberFormat="1" applyFont="1" applyBorder="1" applyAlignment="1">
      <alignment horizontal="left" vertical="center" wrapText="1"/>
    </xf>
    <xf numFmtId="0" fontId="25" fillId="0" borderId="0" xfId="0" applyFont="1" applyAlignment="1">
      <alignment wrapText="1"/>
    </xf>
    <xf numFmtId="49" fontId="2" fillId="0" borderId="22" xfId="0" applyNumberFormat="1" applyFont="1" applyBorder="1" applyAlignment="1">
      <alignment horizontal="left" vertical="center" wrapText="1"/>
    </xf>
    <xf numFmtId="49" fontId="2" fillId="0" borderId="23" xfId="0" applyNumberFormat="1" applyFont="1" applyBorder="1" applyAlignment="1">
      <alignment horizontal="left" vertical="center" wrapText="1"/>
    </xf>
    <xf numFmtId="49" fontId="2" fillId="0" borderId="52" xfId="0" applyNumberFormat="1" applyFont="1" applyBorder="1" applyAlignment="1">
      <alignment horizontal="left" vertical="center" wrapText="1"/>
    </xf>
    <xf numFmtId="49" fontId="2" fillId="4" borderId="0" xfId="0" applyNumberFormat="1" applyFont="1" applyFill="1" applyAlignment="1">
      <alignment horizontal="center" vertical="center" wrapText="1"/>
    </xf>
    <xf numFmtId="49" fontId="2" fillId="4" borderId="32" xfId="0" applyNumberFormat="1" applyFont="1" applyFill="1" applyBorder="1" applyAlignment="1">
      <alignment horizontal="center" vertical="center" wrapText="1"/>
    </xf>
    <xf numFmtId="49" fontId="2" fillId="4" borderId="24" xfId="0" applyNumberFormat="1" applyFont="1" applyFill="1" applyBorder="1" applyAlignment="1">
      <alignment horizontal="center" vertical="center" wrapText="1"/>
    </xf>
    <xf numFmtId="0" fontId="12" fillId="0" borderId="6" xfId="0" applyFont="1" applyBorder="1" applyAlignment="1" applyProtection="1">
      <alignment horizontal="right" vertical="center"/>
      <protection locked="0"/>
    </xf>
    <xf numFmtId="0" fontId="12" fillId="0" borderId="20" xfId="0" applyFont="1" applyBorder="1" applyAlignment="1" applyProtection="1">
      <alignment horizontal="right" vertical="center"/>
      <protection locked="0"/>
    </xf>
    <xf numFmtId="0" fontId="2" fillId="0" borderId="6" xfId="0" applyFont="1" applyBorder="1" applyAlignment="1" applyProtection="1">
      <alignment horizontal="right" vertical="center" wrapText="1"/>
      <protection locked="0"/>
    </xf>
    <xf numFmtId="0" fontId="1" fillId="2" borderId="14" xfId="0" applyFont="1" applyFill="1" applyBorder="1" applyAlignment="1">
      <alignment horizontal="center" vertical="center"/>
    </xf>
    <xf numFmtId="0" fontId="12" fillId="0" borderId="24" xfId="0" applyFont="1" applyBorder="1" applyAlignment="1">
      <alignment horizontal="left" vertical="center" wrapText="1"/>
    </xf>
    <xf numFmtId="0" fontId="12" fillId="0" borderId="52" xfId="0" applyFont="1" applyBorder="1" applyAlignment="1">
      <alignment horizontal="left" vertical="center" wrapText="1"/>
    </xf>
    <xf numFmtId="0" fontId="1" fillId="2" borderId="51" xfId="0" applyFont="1" applyFill="1" applyBorder="1" applyAlignment="1">
      <alignment horizontal="center" vertical="center"/>
    </xf>
    <xf numFmtId="0" fontId="20" fillId="5" borderId="59" xfId="0" applyFont="1" applyFill="1" applyBorder="1" applyAlignment="1">
      <alignment horizontal="center" vertical="center"/>
    </xf>
    <xf numFmtId="0" fontId="20" fillId="5" borderId="58" xfId="0" applyFont="1" applyFill="1" applyBorder="1" applyAlignment="1">
      <alignment horizontal="center" vertical="center"/>
    </xf>
    <xf numFmtId="0" fontId="2" fillId="0" borderId="19" xfId="0" applyFont="1" applyBorder="1" applyAlignment="1">
      <alignment horizontal="left" vertical="center"/>
    </xf>
    <xf numFmtId="0" fontId="2" fillId="0" borderId="11" xfId="0" applyFont="1" applyBorder="1" applyAlignment="1">
      <alignment horizontal="left" vertical="center"/>
    </xf>
    <xf numFmtId="0" fontId="20" fillId="5" borderId="65" xfId="0" applyFont="1" applyFill="1" applyBorder="1" applyAlignment="1">
      <alignment horizontal="center" vertical="center"/>
    </xf>
    <xf numFmtId="0" fontId="20" fillId="5" borderId="66" xfId="0" applyFont="1" applyFill="1" applyBorder="1" applyAlignment="1">
      <alignment horizontal="center" vertical="center"/>
    </xf>
    <xf numFmtId="0" fontId="20" fillId="5" borderId="67" xfId="0" applyFont="1" applyFill="1" applyBorder="1" applyAlignment="1">
      <alignment horizontal="center" vertical="center"/>
    </xf>
    <xf numFmtId="0" fontId="1" fillId="2" borderId="36" xfId="0" applyFont="1" applyFill="1" applyBorder="1" applyAlignment="1">
      <alignment horizontal="center" vertical="center"/>
    </xf>
    <xf numFmtId="0" fontId="1" fillId="2" borderId="39" xfId="0" applyFont="1" applyFill="1" applyBorder="1" applyAlignment="1">
      <alignment horizontal="center" vertical="center"/>
    </xf>
    <xf numFmtId="0" fontId="1" fillId="2" borderId="35"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34" xfId="0" applyFont="1" applyFill="1" applyBorder="1" applyAlignment="1">
      <alignment horizontal="center" vertical="center"/>
    </xf>
    <xf numFmtId="0" fontId="1" fillId="2" borderId="37" xfId="0" applyFont="1" applyFill="1" applyBorder="1" applyAlignment="1">
      <alignment horizontal="center" vertical="center"/>
    </xf>
    <xf numFmtId="49" fontId="6" fillId="0" borderId="11" xfId="0" applyNumberFormat="1" applyFont="1" applyBorder="1" applyAlignment="1">
      <alignment horizontal="left" vertical="center" wrapText="1"/>
    </xf>
    <xf numFmtId="49" fontId="4" fillId="2" borderId="17" xfId="0" applyNumberFormat="1" applyFont="1" applyFill="1" applyBorder="1" applyAlignment="1">
      <alignment horizontal="center" vertical="center" wrapText="1"/>
    </xf>
    <xf numFmtId="49" fontId="4" fillId="2" borderId="40" xfId="0" applyNumberFormat="1" applyFont="1" applyFill="1" applyBorder="1" applyAlignment="1">
      <alignment horizontal="center" vertical="center" wrapText="1"/>
    </xf>
    <xf numFmtId="49" fontId="4" fillId="2" borderId="16"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6" xfId="0" applyNumberFormat="1" applyFont="1" applyBorder="1" applyAlignment="1">
      <alignment horizontal="center" vertical="center" wrapText="1"/>
    </xf>
    <xf numFmtId="49" fontId="2" fillId="0" borderId="7"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49" fontId="2" fillId="0" borderId="9"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6" xfId="0" applyNumberFormat="1" applyFont="1" applyBorder="1" applyAlignment="1">
      <alignment horizontal="center" vertical="center" wrapText="1"/>
    </xf>
    <xf numFmtId="49" fontId="2" fillId="0" borderId="22" xfId="0" applyNumberFormat="1" applyFont="1" applyBorder="1" applyAlignment="1">
      <alignment horizontal="left" vertical="center" wrapText="1"/>
    </xf>
    <xf numFmtId="49" fontId="2" fillId="0" borderId="23" xfId="0" applyNumberFormat="1" applyFont="1" applyBorder="1" applyAlignment="1">
      <alignment horizontal="left" vertical="center" wrapText="1"/>
    </xf>
    <xf numFmtId="49" fontId="5" fillId="0" borderId="5" xfId="0" applyNumberFormat="1" applyFont="1" applyBorder="1" applyAlignment="1">
      <alignment horizontal="center" vertical="center" wrapText="1"/>
    </xf>
    <xf numFmtId="49" fontId="2" fillId="0" borderId="19" xfId="0" applyNumberFormat="1" applyFont="1" applyBorder="1" applyAlignment="1">
      <alignment horizontal="left" vertical="center" wrapText="1"/>
    </xf>
    <xf numFmtId="49" fontId="2" fillId="0" borderId="20" xfId="0" applyNumberFormat="1" applyFont="1" applyBorder="1" applyAlignment="1">
      <alignment horizontal="left" vertical="center" wrapText="1"/>
    </xf>
    <xf numFmtId="49" fontId="6" fillId="0" borderId="33" xfId="0" applyNumberFormat="1" applyFont="1" applyBorder="1" applyAlignment="1">
      <alignment horizontal="left" vertical="center" wrapText="1"/>
    </xf>
    <xf numFmtId="49" fontId="6" fillId="0" borderId="27" xfId="0" applyNumberFormat="1" applyFont="1" applyBorder="1" applyAlignment="1">
      <alignment horizontal="left" vertical="center" wrapText="1"/>
    </xf>
    <xf numFmtId="49" fontId="6" fillId="0" borderId="28" xfId="0" applyNumberFormat="1" applyFont="1" applyBorder="1" applyAlignment="1">
      <alignment horizontal="left" vertical="center" wrapText="1"/>
    </xf>
    <xf numFmtId="49" fontId="1" fillId="3" borderId="43" xfId="0" applyNumberFormat="1" applyFont="1" applyFill="1" applyBorder="1" applyAlignment="1">
      <alignment horizontal="center" vertical="center" wrapText="1"/>
    </xf>
    <xf numFmtId="49" fontId="1" fillId="3" borderId="41" xfId="0" applyNumberFormat="1" applyFont="1" applyFill="1" applyBorder="1" applyAlignment="1">
      <alignment horizontal="center" vertical="center" wrapText="1"/>
    </xf>
    <xf numFmtId="49" fontId="1" fillId="3" borderId="42" xfId="0" applyNumberFormat="1" applyFont="1" applyFill="1" applyBorder="1" applyAlignment="1">
      <alignment horizontal="center" vertical="center" wrapText="1"/>
    </xf>
    <xf numFmtId="49" fontId="6" fillId="0" borderId="1" xfId="0" applyNumberFormat="1" applyFont="1" applyBorder="1" applyAlignment="1">
      <alignment horizontal="left" vertical="center" wrapText="1"/>
    </xf>
    <xf numFmtId="49" fontId="4" fillId="2" borderId="13" xfId="0" applyNumberFormat="1" applyFont="1" applyFill="1" applyBorder="1" applyAlignment="1">
      <alignment horizontal="center" vertical="center" wrapText="1"/>
    </xf>
    <xf numFmtId="49" fontId="4" fillId="2" borderId="14" xfId="0" applyNumberFormat="1" applyFont="1" applyFill="1" applyBorder="1" applyAlignment="1">
      <alignment horizontal="center" vertical="center" wrapText="1"/>
    </xf>
    <xf numFmtId="49" fontId="4" fillId="2" borderId="15" xfId="0" applyNumberFormat="1" applyFont="1" applyFill="1" applyBorder="1" applyAlignment="1">
      <alignment horizontal="center" vertical="center" wrapText="1"/>
    </xf>
    <xf numFmtId="49" fontId="20" fillId="5" borderId="14" xfId="0" applyNumberFormat="1" applyFont="1" applyFill="1" applyBorder="1" applyAlignment="1">
      <alignment horizontal="right" vertical="center" wrapText="1"/>
    </xf>
    <xf numFmtId="49" fontId="20" fillId="5" borderId="15" xfId="0" applyNumberFormat="1" applyFont="1" applyFill="1" applyBorder="1" applyAlignment="1">
      <alignment horizontal="right" vertical="center" wrapText="1"/>
    </xf>
    <xf numFmtId="49" fontId="2" fillId="0" borderId="10" xfId="0" applyNumberFormat="1" applyFont="1" applyBorder="1" applyAlignment="1">
      <alignment horizontal="center" vertical="center" wrapText="1"/>
    </xf>
    <xf numFmtId="49" fontId="2" fillId="0" borderId="11" xfId="0" applyNumberFormat="1" applyFont="1" applyBorder="1" applyAlignment="1">
      <alignment horizontal="center" vertical="center" wrapText="1"/>
    </xf>
    <xf numFmtId="49" fontId="2" fillId="0" borderId="12" xfId="0" applyNumberFormat="1" applyFont="1" applyBorder="1" applyAlignment="1">
      <alignment horizontal="center" vertical="center" wrapText="1"/>
    </xf>
    <xf numFmtId="49" fontId="2" fillId="0" borderId="11" xfId="0" applyNumberFormat="1" applyFont="1" applyBorder="1" applyAlignment="1">
      <alignment horizontal="left" vertical="center" wrapText="1"/>
    </xf>
    <xf numFmtId="49" fontId="2" fillId="0" borderId="12" xfId="0" applyNumberFormat="1" applyFont="1" applyBorder="1" applyAlignment="1">
      <alignment horizontal="left" vertical="center" wrapText="1"/>
    </xf>
    <xf numFmtId="49" fontId="2" fillId="0" borderId="10" xfId="0" applyNumberFormat="1" applyFont="1" applyBorder="1" applyAlignment="1">
      <alignment horizontal="left" vertical="center" wrapText="1"/>
    </xf>
    <xf numFmtId="49" fontId="2" fillId="0" borderId="21" xfId="0" applyNumberFormat="1" applyFont="1" applyBorder="1" applyAlignment="1">
      <alignment horizontal="left" vertical="center" wrapText="1"/>
    </xf>
    <xf numFmtId="49" fontId="2" fillId="4" borderId="21" xfId="0" applyNumberFormat="1" applyFont="1" applyFill="1" applyBorder="1" applyAlignment="1">
      <alignment horizontal="left" vertical="center" wrapText="1"/>
    </xf>
    <xf numFmtId="49" fontId="2" fillId="4" borderId="22" xfId="0" applyNumberFormat="1" applyFont="1" applyFill="1" applyBorder="1" applyAlignment="1">
      <alignment horizontal="left" vertical="center" wrapText="1"/>
    </xf>
    <xf numFmtId="49" fontId="2" fillId="0" borderId="18" xfId="0" applyNumberFormat="1" applyFont="1" applyBorder="1" applyAlignment="1">
      <alignment horizontal="left" vertical="center" wrapText="1"/>
    </xf>
    <xf numFmtId="49" fontId="2" fillId="4" borderId="50" xfId="0" applyNumberFormat="1" applyFont="1" applyFill="1" applyBorder="1" applyAlignment="1">
      <alignment horizontal="left" vertical="center" wrapText="1"/>
    </xf>
    <xf numFmtId="49" fontId="2" fillId="4" borderId="52" xfId="0" applyNumberFormat="1" applyFont="1" applyFill="1" applyBorder="1" applyAlignment="1">
      <alignment horizontal="left" vertical="center" wrapText="1"/>
    </xf>
    <xf numFmtId="49" fontId="16" fillId="4" borderId="56" xfId="0" applyNumberFormat="1" applyFont="1" applyFill="1" applyBorder="1" applyAlignment="1">
      <alignment horizontal="center" vertical="center" wrapText="1"/>
    </xf>
    <xf numFmtId="49" fontId="16" fillId="4" borderId="55" xfId="0" applyNumberFormat="1" applyFont="1" applyFill="1" applyBorder="1" applyAlignment="1">
      <alignment horizontal="center" vertical="center" wrapText="1"/>
    </xf>
    <xf numFmtId="49" fontId="16" fillId="4" borderId="54" xfId="0" applyNumberFormat="1" applyFont="1" applyFill="1" applyBorder="1" applyAlignment="1">
      <alignment horizontal="center" vertical="center" wrapText="1"/>
    </xf>
    <xf numFmtId="49" fontId="9" fillId="0" borderId="18" xfId="0" applyNumberFormat="1" applyFont="1" applyBorder="1" applyAlignment="1">
      <alignment horizontal="center" vertical="center" wrapText="1"/>
    </xf>
    <xf numFmtId="49" fontId="9" fillId="0" borderId="21" xfId="0" applyNumberFormat="1" applyFont="1" applyBorder="1" applyAlignment="1">
      <alignment horizontal="center" vertical="center" wrapText="1"/>
    </xf>
    <xf numFmtId="49" fontId="9" fillId="0" borderId="44" xfId="0" applyNumberFormat="1" applyFont="1" applyBorder="1" applyAlignment="1">
      <alignment horizontal="center" vertical="center" wrapText="1"/>
    </xf>
    <xf numFmtId="49" fontId="10" fillId="0" borderId="25" xfId="0" applyNumberFormat="1" applyFont="1" applyBorder="1" applyAlignment="1">
      <alignment horizontal="left" vertical="top" wrapText="1"/>
    </xf>
    <xf numFmtId="49" fontId="10" fillId="0" borderId="29" xfId="0" applyNumberFormat="1" applyFont="1" applyBorder="1" applyAlignment="1">
      <alignment horizontal="left" vertical="top" wrapText="1"/>
    </xf>
    <xf numFmtId="49" fontId="11" fillId="0" borderId="47" xfId="0" applyNumberFormat="1" applyFont="1" applyBorder="1" applyAlignment="1" applyProtection="1">
      <alignment horizontal="left" vertical="top" wrapText="1"/>
      <protection locked="0"/>
    </xf>
    <xf numFmtId="49" fontId="11" fillId="0" borderId="31" xfId="0" applyNumberFormat="1" applyFont="1" applyBorder="1" applyAlignment="1" applyProtection="1">
      <alignment horizontal="left" vertical="top" wrapText="1"/>
      <protection locked="0"/>
    </xf>
    <xf numFmtId="49" fontId="11" fillId="0" borderId="48" xfId="0" applyNumberFormat="1" applyFont="1" applyBorder="1" applyAlignment="1" applyProtection="1">
      <alignment horizontal="left" vertical="top" wrapText="1"/>
      <protection locked="0"/>
    </xf>
    <xf numFmtId="49" fontId="3" fillId="0" borderId="18"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44" xfId="0" applyNumberFormat="1" applyFont="1" applyBorder="1" applyAlignment="1">
      <alignment horizontal="center" vertical="center" wrapText="1"/>
    </xf>
    <xf numFmtId="49" fontId="11" fillId="0" borderId="1" xfId="0" applyNumberFormat="1" applyFont="1" applyBorder="1" applyAlignment="1" applyProtection="1">
      <alignment horizontal="left" vertical="top" wrapText="1"/>
      <protection locked="0"/>
    </xf>
    <xf numFmtId="49" fontId="11" fillId="0" borderId="6" xfId="0" applyNumberFormat="1" applyFont="1" applyBorder="1" applyAlignment="1" applyProtection="1">
      <alignment horizontal="left" vertical="top" wrapText="1"/>
      <protection locked="0"/>
    </xf>
    <xf numFmtId="49" fontId="10" fillId="0" borderId="1" xfId="0" applyNumberFormat="1" applyFont="1" applyBorder="1" applyAlignment="1">
      <alignment horizontal="left" vertical="top" wrapText="1"/>
    </xf>
    <xf numFmtId="49" fontId="11" fillId="0" borderId="19" xfId="0" applyNumberFormat="1" applyFont="1" applyBorder="1" applyAlignment="1" applyProtection="1">
      <alignment horizontal="left" vertical="top" wrapText="1"/>
      <protection locked="0"/>
    </xf>
    <xf numFmtId="49" fontId="11" fillId="0" borderId="20" xfId="0" applyNumberFormat="1" applyFont="1" applyBorder="1" applyAlignment="1" applyProtection="1">
      <alignment horizontal="left" vertical="top" wrapText="1"/>
      <protection locked="0"/>
    </xf>
    <xf numFmtId="49" fontId="11" fillId="0" borderId="8" xfId="0" applyNumberFormat="1" applyFont="1" applyBorder="1" applyAlignment="1" applyProtection="1">
      <alignment horizontal="left" vertical="top" wrapText="1"/>
      <protection locked="0"/>
    </xf>
    <xf numFmtId="49" fontId="11" fillId="0" borderId="9" xfId="0" applyNumberFormat="1" applyFont="1" applyBorder="1" applyAlignment="1" applyProtection="1">
      <alignment horizontal="left" vertical="top" wrapText="1"/>
      <protection locked="0"/>
    </xf>
    <xf numFmtId="49" fontId="1" fillId="3" borderId="26" xfId="0" applyNumberFormat="1" applyFont="1" applyFill="1" applyBorder="1" applyAlignment="1">
      <alignment horizontal="center" wrapText="1"/>
    </xf>
    <xf numFmtId="49" fontId="1" fillId="3" borderId="27" xfId="0" applyNumberFormat="1" applyFont="1" applyFill="1" applyBorder="1" applyAlignment="1">
      <alignment horizontal="center" wrapText="1"/>
    </xf>
    <xf numFmtId="49" fontId="1" fillId="3" borderId="28" xfId="0" applyNumberFormat="1" applyFont="1" applyFill="1" applyBorder="1" applyAlignment="1">
      <alignment horizontal="center" wrapText="1"/>
    </xf>
    <xf numFmtId="49" fontId="11" fillId="0" borderId="30" xfId="0" applyNumberFormat="1" applyFont="1" applyBorder="1" applyAlignment="1" applyProtection="1">
      <alignment horizontal="left" vertical="top" wrapText="1"/>
      <protection locked="0"/>
    </xf>
    <xf numFmtId="49" fontId="8" fillId="0" borderId="44" xfId="0" applyNumberFormat="1" applyFont="1" applyBorder="1" applyAlignment="1">
      <alignment horizontal="left" vertical="center" wrapText="1"/>
    </xf>
    <xf numFmtId="49" fontId="8" fillId="0" borderId="45" xfId="0" applyNumberFormat="1" applyFont="1" applyBorder="1" applyAlignment="1">
      <alignment horizontal="left" vertical="center" wrapText="1"/>
    </xf>
    <xf numFmtId="49" fontId="2" fillId="0" borderId="1" xfId="0" applyNumberFormat="1" applyFont="1" applyBorder="1" applyAlignment="1" applyProtection="1">
      <alignment horizontal="left" vertical="top" wrapText="1"/>
      <protection locked="0"/>
    </xf>
    <xf numFmtId="49" fontId="2" fillId="0" borderId="52" xfId="0" applyNumberFormat="1" applyFont="1" applyBorder="1" applyAlignment="1">
      <alignment horizontal="left" vertical="center" wrapText="1"/>
    </xf>
    <xf numFmtId="49" fontId="2" fillId="4" borderId="69" xfId="0" applyNumberFormat="1" applyFont="1" applyFill="1" applyBorder="1" applyAlignment="1">
      <alignment horizontal="left" vertical="center" wrapText="1"/>
    </xf>
    <xf numFmtId="49" fontId="2" fillId="4" borderId="64" xfId="0" applyNumberFormat="1" applyFont="1" applyFill="1" applyBorder="1" applyAlignment="1">
      <alignment horizontal="left" vertical="center" wrapText="1"/>
    </xf>
    <xf numFmtId="49" fontId="2" fillId="0" borderId="50" xfId="0" applyNumberFormat="1" applyFont="1" applyBorder="1" applyAlignment="1">
      <alignment horizontal="left" vertical="center" wrapText="1"/>
    </xf>
    <xf numFmtId="49" fontId="3" fillId="0" borderId="50" xfId="0" applyNumberFormat="1" applyFont="1" applyBorder="1" applyAlignment="1">
      <alignment horizontal="left" vertical="center" wrapText="1"/>
    </xf>
    <xf numFmtId="49" fontId="3" fillId="0" borderId="52" xfId="0" applyNumberFormat="1" applyFont="1" applyBorder="1" applyAlignment="1">
      <alignment horizontal="left" vertical="center" wrapText="1"/>
    </xf>
    <xf numFmtId="49" fontId="2" fillId="0" borderId="58" xfId="0" applyNumberFormat="1" applyFont="1" applyBorder="1" applyAlignment="1">
      <alignment horizontal="left"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49" fontId="2" fillId="0" borderId="44" xfId="0" applyNumberFormat="1" applyFont="1" applyBorder="1" applyAlignment="1">
      <alignment horizontal="center" vertical="center" wrapText="1"/>
    </xf>
    <xf numFmtId="49" fontId="2" fillId="0" borderId="45" xfId="0" applyNumberFormat="1" applyFont="1" applyBorder="1" applyAlignment="1">
      <alignment horizontal="center" vertical="center" wrapText="1"/>
    </xf>
    <xf numFmtId="49" fontId="2" fillId="0" borderId="46" xfId="0" applyNumberFormat="1" applyFont="1" applyBorder="1" applyAlignment="1">
      <alignment horizontal="center" vertical="center" wrapText="1"/>
    </xf>
    <xf numFmtId="49" fontId="2" fillId="4" borderId="0" xfId="0" applyNumberFormat="1" applyFont="1" applyFill="1" applyAlignment="1">
      <alignment horizontal="left" vertical="center" wrapText="1"/>
    </xf>
    <xf numFmtId="49" fontId="2" fillId="0" borderId="24" xfId="0" applyNumberFormat="1" applyFont="1" applyBorder="1" applyAlignment="1">
      <alignment horizontal="left" vertical="center" wrapText="1"/>
    </xf>
    <xf numFmtId="49" fontId="2" fillId="0" borderId="32" xfId="0" applyNumberFormat="1" applyFont="1" applyBorder="1" applyAlignment="1">
      <alignment horizontal="left" vertical="center" wrapText="1"/>
    </xf>
    <xf numFmtId="49" fontId="2" fillId="0" borderId="13" xfId="0" applyNumberFormat="1" applyFont="1" applyBorder="1" applyAlignment="1">
      <alignment horizontal="center" vertical="center" wrapText="1"/>
    </xf>
    <xf numFmtId="49" fontId="2" fillId="0" borderId="14"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2" fillId="0" borderId="32" xfId="0" applyNumberFormat="1" applyFont="1" applyBorder="1" applyAlignment="1">
      <alignment horizontal="center" vertical="center" wrapText="1"/>
    </xf>
    <xf numFmtId="49" fontId="2" fillId="4" borderId="69" xfId="0" applyNumberFormat="1" applyFont="1" applyFill="1" applyBorder="1" applyAlignment="1">
      <alignment vertical="center" wrapText="1"/>
    </xf>
    <xf numFmtId="49" fontId="2" fillId="4" borderId="64" xfId="0" applyNumberFormat="1" applyFont="1" applyFill="1" applyBorder="1" applyAlignment="1">
      <alignment vertical="center" wrapText="1"/>
    </xf>
    <xf numFmtId="49" fontId="2" fillId="4" borderId="61" xfId="0" applyNumberFormat="1" applyFont="1" applyFill="1" applyBorder="1" applyAlignment="1">
      <alignment horizontal="left" vertical="center" wrapText="1"/>
    </xf>
    <xf numFmtId="49" fontId="2" fillId="4" borderId="60" xfId="0" applyNumberFormat="1" applyFont="1" applyFill="1" applyBorder="1" applyAlignment="1">
      <alignment horizontal="left" vertical="center" wrapText="1"/>
    </xf>
    <xf numFmtId="49" fontId="2" fillId="0" borderId="59" xfId="0" applyNumberFormat="1" applyFont="1" applyBorder="1" applyAlignment="1">
      <alignment horizontal="left" vertical="center" wrapText="1"/>
    </xf>
    <xf numFmtId="49" fontId="2" fillId="0" borderId="62" xfId="0" applyNumberFormat="1" applyFont="1" applyBorder="1" applyAlignment="1">
      <alignment horizontal="left" vertical="center" wrapText="1"/>
    </xf>
    <xf numFmtId="49" fontId="5" fillId="0" borderId="18" xfId="0" applyNumberFormat="1" applyFont="1" applyBorder="1" applyAlignment="1">
      <alignment horizontal="center" vertical="center" wrapText="1"/>
    </xf>
    <xf numFmtId="49" fontId="5" fillId="0" borderId="19" xfId="0" applyNumberFormat="1" applyFont="1" applyBorder="1" applyAlignment="1">
      <alignment horizontal="center" vertical="center" wrapText="1"/>
    </xf>
    <xf numFmtId="49" fontId="5" fillId="0" borderId="20" xfId="0" applyNumberFormat="1" applyFont="1" applyBorder="1" applyAlignment="1">
      <alignment horizontal="center" vertical="center" wrapText="1"/>
    </xf>
    <xf numFmtId="49" fontId="2" fillId="4" borderId="18" xfId="0" applyNumberFormat="1" applyFont="1" applyFill="1" applyBorder="1" applyAlignment="1">
      <alignment horizontal="left" vertical="center" wrapText="1"/>
    </xf>
    <xf numFmtId="49" fontId="2" fillId="4" borderId="19" xfId="0" applyNumberFormat="1" applyFont="1" applyFill="1" applyBorder="1" applyAlignment="1">
      <alignment horizontal="left" vertical="center" wrapText="1"/>
    </xf>
    <xf numFmtId="49" fontId="2" fillId="4" borderId="20" xfId="0" applyNumberFormat="1" applyFont="1" applyFill="1" applyBorder="1" applyAlignment="1">
      <alignment horizontal="left" vertical="center" wrapText="1"/>
    </xf>
    <xf numFmtId="49" fontId="2" fillId="4" borderId="24" xfId="0" applyNumberFormat="1" applyFont="1" applyFill="1" applyBorder="1" applyAlignment="1">
      <alignment horizontal="left" vertical="center" wrapText="1"/>
    </xf>
    <xf numFmtId="49" fontId="2" fillId="4" borderId="32" xfId="0" applyNumberFormat="1" applyFont="1" applyFill="1" applyBorder="1" applyAlignment="1">
      <alignment horizontal="left" vertical="center" wrapText="1"/>
    </xf>
    <xf numFmtId="49" fontId="2" fillId="4" borderId="10" xfId="0" applyNumberFormat="1" applyFont="1" applyFill="1" applyBorder="1" applyAlignment="1">
      <alignment horizontal="center" vertical="center" wrapText="1"/>
    </xf>
    <xf numFmtId="49" fontId="2" fillId="4" borderId="11" xfId="0" applyNumberFormat="1" applyFont="1" applyFill="1" applyBorder="1" applyAlignment="1">
      <alignment horizontal="center" vertical="center" wrapText="1"/>
    </xf>
    <xf numFmtId="49" fontId="2" fillId="4" borderId="12"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49" fontId="2" fillId="4" borderId="30" xfId="0" applyNumberFormat="1" applyFont="1" applyFill="1" applyBorder="1" applyAlignment="1">
      <alignment horizontal="center" vertical="center" wrapText="1"/>
    </xf>
    <xf numFmtId="49" fontId="2" fillId="4" borderId="31" xfId="0" applyNumberFormat="1" applyFont="1" applyFill="1" applyBorder="1" applyAlignment="1">
      <alignment horizontal="center" vertical="center" wrapText="1"/>
    </xf>
    <xf numFmtId="49" fontId="2" fillId="4" borderId="48" xfId="0" applyNumberFormat="1" applyFont="1" applyFill="1" applyBorder="1" applyAlignment="1">
      <alignment horizontal="center" vertical="center" wrapText="1"/>
    </xf>
    <xf numFmtId="49" fontId="2" fillId="4" borderId="23" xfId="0" applyNumberFormat="1" applyFont="1" applyFill="1" applyBorder="1" applyAlignment="1">
      <alignment horizontal="left" vertical="center" wrapText="1"/>
    </xf>
    <xf numFmtId="49" fontId="2" fillId="4" borderId="56" xfId="0" applyNumberFormat="1" applyFont="1" applyFill="1" applyBorder="1" applyAlignment="1">
      <alignment horizontal="center" vertical="center" wrapText="1"/>
    </xf>
    <xf numFmtId="49" fontId="2" fillId="4" borderId="55" xfId="0" applyNumberFormat="1" applyFont="1" applyFill="1" applyBorder="1" applyAlignment="1">
      <alignment horizontal="center" vertical="center" wrapText="1"/>
    </xf>
    <xf numFmtId="49" fontId="2" fillId="4" borderId="54" xfId="0" applyNumberFormat="1" applyFont="1" applyFill="1" applyBorder="1" applyAlignment="1">
      <alignment horizontal="center" vertical="center" wrapText="1"/>
    </xf>
    <xf numFmtId="49" fontId="1" fillId="3" borderId="43" xfId="0" applyNumberFormat="1" applyFont="1" applyFill="1" applyBorder="1" applyAlignment="1">
      <alignment horizontal="center" wrapText="1"/>
    </xf>
    <xf numFmtId="49" fontId="1" fillId="3" borderId="41" xfId="0" applyNumberFormat="1" applyFont="1" applyFill="1" applyBorder="1" applyAlignment="1">
      <alignment horizontal="center" wrapText="1"/>
    </xf>
    <xf numFmtId="49" fontId="1" fillId="3" borderId="42" xfId="0" applyNumberFormat="1" applyFont="1" applyFill="1" applyBorder="1" applyAlignment="1">
      <alignment horizontal="center" wrapText="1"/>
    </xf>
    <xf numFmtId="49" fontId="8" fillId="0" borderId="30" xfId="0" applyNumberFormat="1" applyFont="1" applyBorder="1" applyAlignment="1">
      <alignment horizontal="left" vertical="center" wrapText="1"/>
    </xf>
    <xf numFmtId="49" fontId="8" fillId="0" borderId="31" xfId="0" applyNumberFormat="1" applyFont="1" applyBorder="1" applyAlignment="1">
      <alignment horizontal="left" vertical="center" wrapText="1"/>
    </xf>
    <xf numFmtId="49" fontId="8" fillId="0" borderId="57" xfId="0" applyNumberFormat="1" applyFont="1" applyBorder="1" applyAlignment="1">
      <alignment horizontal="left" vertical="center" wrapText="1"/>
    </xf>
    <xf numFmtId="49" fontId="6" fillId="0" borderId="25" xfId="0" applyNumberFormat="1" applyFont="1" applyBorder="1" applyAlignment="1">
      <alignment horizontal="left" vertical="center" wrapText="1"/>
    </xf>
    <xf numFmtId="49" fontId="6" fillId="0" borderId="29" xfId="0" applyNumberFormat="1" applyFont="1" applyBorder="1" applyAlignment="1">
      <alignment horizontal="left" vertical="center" wrapText="1"/>
    </xf>
    <xf numFmtId="49" fontId="11" fillId="0" borderId="25" xfId="0" applyNumberFormat="1" applyFont="1" applyBorder="1" applyAlignment="1" applyProtection="1">
      <alignment horizontal="left" vertical="top" wrapText="1"/>
      <protection locked="0"/>
    </xf>
    <xf numFmtId="49" fontId="11" fillId="0" borderId="55" xfId="0" applyNumberFormat="1" applyFont="1" applyBorder="1" applyAlignment="1" applyProtection="1">
      <alignment horizontal="left" vertical="top" wrapText="1"/>
      <protection locked="0"/>
    </xf>
    <xf numFmtId="49" fontId="11" fillId="0" borderId="54" xfId="0" applyNumberFormat="1" applyFont="1" applyBorder="1" applyAlignment="1" applyProtection="1">
      <alignment horizontal="left" vertical="top" wrapText="1"/>
      <protection locked="0"/>
    </xf>
    <xf numFmtId="49" fontId="2" fillId="0" borderId="0" xfId="0" applyNumberFormat="1" applyFont="1" applyAlignment="1">
      <alignment horizontal="left" vertical="center" wrapText="1"/>
    </xf>
    <xf numFmtId="49" fontId="2" fillId="4" borderId="5"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49" fontId="2" fillId="4" borderId="6" xfId="0" applyNumberFormat="1" applyFont="1" applyFill="1" applyBorder="1" applyAlignment="1">
      <alignment horizontal="center" vertical="center" wrapText="1"/>
    </xf>
    <xf numFmtId="49" fontId="2" fillId="0" borderId="50"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2" fillId="0" borderId="33" xfId="0" applyNumberFormat="1" applyFont="1" applyBorder="1" applyAlignment="1">
      <alignment horizontal="center" vertical="center" wrapText="1"/>
    </xf>
    <xf numFmtId="49" fontId="2" fillId="0" borderId="28" xfId="0" applyNumberFormat="1" applyFont="1" applyBorder="1" applyAlignment="1">
      <alignment horizontal="center" vertical="center" wrapText="1"/>
    </xf>
    <xf numFmtId="49" fontId="2" fillId="4" borderId="24" xfId="0" applyNumberFormat="1" applyFont="1" applyFill="1" applyBorder="1" applyAlignment="1">
      <alignment vertical="center" wrapText="1"/>
    </xf>
    <xf numFmtId="49" fontId="2" fillId="4" borderId="52" xfId="0" applyNumberFormat="1" applyFont="1" applyFill="1" applyBorder="1" applyAlignment="1">
      <alignment vertical="center" wrapText="1"/>
    </xf>
    <xf numFmtId="49" fontId="2" fillId="4" borderId="0" xfId="0" applyNumberFormat="1" applyFont="1" applyFill="1" applyAlignment="1">
      <alignment horizontal="center" vertical="center" wrapText="1"/>
    </xf>
    <xf numFmtId="49" fontId="2" fillId="4" borderId="32" xfId="0" applyNumberFormat="1" applyFont="1" applyFill="1" applyBorder="1" applyAlignment="1">
      <alignment horizontal="center" vertical="center" wrapText="1"/>
    </xf>
    <xf numFmtId="49" fontId="2" fillId="4" borderId="59" xfId="0" applyNumberFormat="1" applyFont="1" applyFill="1" applyBorder="1" applyAlignment="1">
      <alignment horizontal="left" vertical="center" wrapText="1"/>
    </xf>
    <xf numFmtId="49" fontId="2" fillId="4" borderId="62" xfId="0" applyNumberFormat="1" applyFont="1" applyFill="1" applyBorder="1" applyAlignment="1">
      <alignment horizontal="left" vertical="center" wrapText="1"/>
    </xf>
    <xf numFmtId="49" fontId="2" fillId="4" borderId="24" xfId="0" applyNumberFormat="1" applyFont="1" applyFill="1" applyBorder="1" applyAlignment="1">
      <alignment horizontal="center" vertical="center" wrapText="1"/>
    </xf>
    <xf numFmtId="49" fontId="3" fillId="4" borderId="24" xfId="0" applyNumberFormat="1" applyFont="1" applyFill="1" applyBorder="1" applyAlignment="1">
      <alignment horizontal="left" vertical="center" wrapText="1"/>
    </xf>
    <xf numFmtId="49" fontId="3" fillId="4" borderId="52" xfId="0" applyNumberFormat="1" applyFont="1" applyFill="1" applyBorder="1" applyAlignment="1">
      <alignment horizontal="left" vertical="center" wrapText="1"/>
    </xf>
    <xf numFmtId="49" fontId="2" fillId="0" borderId="71" xfId="0" applyNumberFormat="1" applyFont="1" applyBorder="1" applyAlignment="1">
      <alignment horizontal="center" vertical="center" wrapText="1"/>
    </xf>
    <xf numFmtId="49" fontId="2" fillId="0" borderId="70" xfId="0" applyNumberFormat="1" applyFont="1" applyBorder="1" applyAlignment="1">
      <alignment horizontal="center" vertical="center" wrapText="1"/>
    </xf>
    <xf numFmtId="49" fontId="2" fillId="0" borderId="60" xfId="0" applyNumberFormat="1" applyFont="1" applyBorder="1" applyAlignment="1">
      <alignment horizontal="left" vertical="center" wrapText="1"/>
    </xf>
    <xf numFmtId="49" fontId="2" fillId="0" borderId="24" xfId="0" applyNumberFormat="1" applyFont="1" applyBorder="1" applyAlignment="1">
      <alignment horizontal="center" vertical="center" wrapText="1"/>
    </xf>
    <xf numFmtId="49" fontId="2" fillId="4" borderId="26" xfId="0" applyNumberFormat="1" applyFont="1" applyFill="1" applyBorder="1" applyAlignment="1">
      <alignment horizontal="left" vertical="center" wrapText="1"/>
    </xf>
    <xf numFmtId="49" fontId="2" fillId="4" borderId="53" xfId="0" applyNumberFormat="1" applyFont="1" applyFill="1" applyBorder="1" applyAlignment="1">
      <alignment horizontal="left" vertical="center" wrapText="1"/>
    </xf>
    <xf numFmtId="49" fontId="2" fillId="4" borderId="2" xfId="0" applyNumberFormat="1" applyFont="1" applyFill="1" applyBorder="1" applyAlignment="1">
      <alignment horizontal="center" vertical="center" wrapText="1"/>
    </xf>
    <xf numFmtId="49" fontId="2" fillId="4" borderId="3" xfId="0" applyNumberFormat="1" applyFont="1" applyFill="1" applyBorder="1" applyAlignment="1">
      <alignment horizontal="center" vertical="center" wrapText="1"/>
    </xf>
    <xf numFmtId="49" fontId="2" fillId="4" borderId="4" xfId="0" applyNumberFormat="1" applyFont="1" applyFill="1" applyBorder="1" applyAlignment="1">
      <alignment horizontal="center" vertical="center" wrapText="1"/>
    </xf>
    <xf numFmtId="49" fontId="5" fillId="4" borderId="18" xfId="0" applyNumberFormat="1" applyFont="1" applyFill="1" applyBorder="1" applyAlignment="1">
      <alignment horizontal="center" vertical="center" wrapText="1"/>
    </xf>
    <xf numFmtId="49" fontId="5" fillId="4" borderId="19" xfId="0" applyNumberFormat="1" applyFont="1" applyFill="1" applyBorder="1" applyAlignment="1">
      <alignment horizontal="center" vertical="center" wrapText="1"/>
    </xf>
    <xf numFmtId="49" fontId="5" fillId="4" borderId="20" xfId="0" applyNumberFormat="1" applyFont="1" applyFill="1" applyBorder="1" applyAlignment="1">
      <alignment horizontal="center" vertical="center" wrapText="1"/>
    </xf>
    <xf numFmtId="49" fontId="2" fillId="4" borderId="58" xfId="0" applyNumberFormat="1" applyFont="1" applyFill="1" applyBorder="1" applyAlignment="1">
      <alignment horizontal="left" vertical="center" wrapText="1"/>
    </xf>
    <xf numFmtId="0" fontId="2" fillId="0" borderId="50" xfId="0" applyFont="1" applyBorder="1" applyAlignment="1">
      <alignment horizontal="left"/>
    </xf>
    <xf numFmtId="0" fontId="2" fillId="0" borderId="52" xfId="0" applyFont="1" applyBorder="1" applyAlignment="1">
      <alignment horizontal="left"/>
    </xf>
    <xf numFmtId="49" fontId="2" fillId="4" borderId="50" xfId="0" applyNumberFormat="1" applyFont="1" applyFill="1" applyBorder="1" applyAlignment="1">
      <alignment horizontal="left" vertical="top" wrapText="1"/>
    </xf>
    <xf numFmtId="49" fontId="2" fillId="4" borderId="52" xfId="0" applyNumberFormat="1" applyFont="1" applyFill="1" applyBorder="1" applyAlignment="1">
      <alignment horizontal="left" vertical="top" wrapText="1"/>
    </xf>
    <xf numFmtId="0" fontId="0" fillId="0" borderId="33" xfId="0" applyBorder="1" applyAlignment="1">
      <alignment horizontal="center"/>
    </xf>
    <xf numFmtId="0" fontId="0" fillId="0" borderId="28" xfId="0" applyBorder="1" applyAlignment="1">
      <alignment horizontal="center"/>
    </xf>
    <xf numFmtId="49" fontId="2" fillId="4" borderId="7" xfId="0" applyNumberFormat="1" applyFont="1" applyFill="1" applyBorder="1" applyAlignment="1">
      <alignment horizontal="center" vertical="center" wrapText="1"/>
    </xf>
    <xf numFmtId="49" fontId="2" fillId="4" borderId="8" xfId="0" applyNumberFormat="1" applyFont="1" applyFill="1" applyBorder="1" applyAlignment="1">
      <alignment horizontal="center" vertical="center" wrapText="1"/>
    </xf>
    <xf numFmtId="49" fontId="2" fillId="4" borderId="9" xfId="0" applyNumberFormat="1" applyFont="1" applyFill="1" applyBorder="1" applyAlignment="1">
      <alignment horizontal="center" vertical="center" wrapText="1"/>
    </xf>
    <xf numFmtId="49" fontId="2" fillId="4" borderId="18" xfId="0" applyNumberFormat="1" applyFont="1" applyFill="1" applyBorder="1" applyAlignment="1">
      <alignment horizontal="left" vertical="top" wrapText="1"/>
    </xf>
    <xf numFmtId="49" fontId="2" fillId="4" borderId="19" xfId="0" applyNumberFormat="1" applyFont="1" applyFill="1" applyBorder="1" applyAlignment="1">
      <alignment horizontal="left" vertical="top" wrapText="1"/>
    </xf>
    <xf numFmtId="0" fontId="0" fillId="4" borderId="53" xfId="0" applyFill="1" applyBorder="1" applyAlignment="1">
      <alignment horizontal="left" vertical="center" wrapText="1"/>
    </xf>
    <xf numFmtId="49" fontId="2" fillId="4" borderId="33" xfId="0" applyNumberFormat="1" applyFont="1" applyFill="1" applyBorder="1" applyAlignment="1">
      <alignment horizontal="left" vertical="center" wrapText="1"/>
    </xf>
    <xf numFmtId="49" fontId="2" fillId="0" borderId="27" xfId="0" applyNumberFormat="1" applyFont="1" applyBorder="1" applyAlignment="1">
      <alignment horizontal="center" vertical="center" wrapText="1"/>
    </xf>
    <xf numFmtId="0" fontId="2" fillId="0" borderId="0" xfId="0" applyFont="1" applyAlignment="1">
      <alignment horizontal="left"/>
    </xf>
    <xf numFmtId="0" fontId="2" fillId="0" borderId="0" xfId="0" applyFont="1" applyAlignment="1">
      <alignment horizontal="left" wrapText="1"/>
    </xf>
    <xf numFmtId="0" fontId="2" fillId="0" borderId="52" xfId="0" applyFont="1" applyBorder="1" applyAlignment="1">
      <alignment horizontal="left" wrapText="1"/>
    </xf>
    <xf numFmtId="49" fontId="2" fillId="0" borderId="61" xfId="0" applyNumberFormat="1" applyFont="1" applyBorder="1" applyAlignment="1">
      <alignment horizontal="left" vertical="center" wrapText="1"/>
    </xf>
    <xf numFmtId="49" fontId="3" fillId="4" borderId="50" xfId="0" applyNumberFormat="1" applyFont="1" applyFill="1" applyBorder="1" applyAlignment="1">
      <alignment horizontal="left" vertical="center" wrapText="1"/>
    </xf>
    <xf numFmtId="49" fontId="2" fillId="4" borderId="50" xfId="0" applyNumberFormat="1" applyFont="1" applyFill="1" applyBorder="1" applyAlignment="1">
      <alignment vertical="center" wrapText="1"/>
    </xf>
    <xf numFmtId="49" fontId="2" fillId="4" borderId="10" xfId="0" applyNumberFormat="1" applyFont="1" applyFill="1" applyBorder="1" applyAlignment="1">
      <alignment horizontal="left" vertical="center" wrapText="1"/>
    </xf>
    <xf numFmtId="49" fontId="2" fillId="4" borderId="11" xfId="0" applyNumberFormat="1" applyFont="1" applyFill="1" applyBorder="1" applyAlignment="1">
      <alignment horizontal="left" vertical="center" wrapText="1"/>
    </xf>
    <xf numFmtId="49" fontId="2" fillId="4" borderId="12" xfId="0" applyNumberFormat="1" applyFont="1" applyFill="1" applyBorder="1" applyAlignment="1">
      <alignment horizontal="left" vertical="center" wrapText="1"/>
    </xf>
    <xf numFmtId="49" fontId="2" fillId="4" borderId="50" xfId="0" applyNumberFormat="1" applyFont="1" applyFill="1" applyBorder="1" applyAlignment="1">
      <alignment vertical="top" wrapText="1"/>
    </xf>
    <xf numFmtId="49" fontId="2" fillId="4" borderId="52" xfId="0" applyNumberFormat="1" applyFont="1" applyFill="1" applyBorder="1" applyAlignment="1">
      <alignment vertical="top" wrapText="1"/>
    </xf>
    <xf numFmtId="0" fontId="3" fillId="4" borderId="0" xfId="0" applyFont="1" applyFill="1" applyAlignment="1">
      <alignment horizontal="left" vertical="top" wrapText="1"/>
    </xf>
    <xf numFmtId="0" fontId="3" fillId="4" borderId="52" xfId="0" applyFont="1" applyFill="1" applyBorder="1" applyAlignment="1">
      <alignment horizontal="left" vertical="top"/>
    </xf>
    <xf numFmtId="0" fontId="2" fillId="4" borderId="0" xfId="0" applyFont="1" applyFill="1" applyAlignment="1">
      <alignment horizontal="left" wrapText="1"/>
    </xf>
    <xf numFmtId="0" fontId="2" fillId="4" borderId="52" xfId="0" applyFont="1" applyFill="1" applyBorder="1" applyAlignment="1">
      <alignment horizontal="left" wrapText="1"/>
    </xf>
    <xf numFmtId="49" fontId="2" fillId="4" borderId="0" xfId="0" applyNumberFormat="1" applyFont="1" applyFill="1" applyAlignment="1">
      <alignment horizontal="left" vertical="top" wrapText="1"/>
    </xf>
    <xf numFmtId="49" fontId="2" fillId="4" borderId="51" xfId="0" applyNumberFormat="1" applyFont="1" applyFill="1" applyBorder="1" applyAlignment="1">
      <alignment horizontal="center" vertical="center" wrapText="1"/>
    </xf>
    <xf numFmtId="49" fontId="2" fillId="4" borderId="49" xfId="0" applyNumberFormat="1" applyFont="1" applyFill="1" applyBorder="1" applyAlignment="1">
      <alignment horizontal="center" vertical="center" wrapText="1"/>
    </xf>
    <xf numFmtId="49" fontId="2" fillId="4" borderId="33" xfId="0" applyNumberFormat="1" applyFont="1" applyFill="1" applyBorder="1" applyAlignment="1">
      <alignment horizontal="center" vertical="center" wrapText="1"/>
    </xf>
    <xf numFmtId="49" fontId="2" fillId="4" borderId="28" xfId="0" applyNumberFormat="1" applyFont="1" applyFill="1" applyBorder="1" applyAlignment="1">
      <alignment horizontal="center" vertical="center" wrapText="1"/>
    </xf>
    <xf numFmtId="49" fontId="2" fillId="4" borderId="27" xfId="0" applyNumberFormat="1" applyFont="1" applyFill="1" applyBorder="1" applyAlignment="1">
      <alignment horizontal="left" vertical="center" wrapText="1"/>
    </xf>
  </cellXfs>
  <cellStyles count="2">
    <cellStyle name="Hyperlink" xfId="1" builtinId="8"/>
    <cellStyle name="Normal" xfId="0" builtinId="0"/>
  </cellStyles>
  <dxfs count="184">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ill>
        <patternFill>
          <bgColor theme="0" tint="-0.14996795556505021"/>
        </patternFill>
      </fill>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65C53"/>
      </font>
    </dxf>
    <dxf>
      <font>
        <color rgb="FFD6001A"/>
      </font>
    </dxf>
    <dxf>
      <font>
        <color theme="0" tint="-0.499984740745262"/>
      </font>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D6001A"/>
      <color rgb="FF065C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523810</xdr:colOff>
      <xdr:row>2</xdr:row>
      <xdr:rowOff>84832</xdr:rowOff>
    </xdr:to>
    <xdr:pic>
      <xdr:nvPicPr>
        <xdr:cNvPr id="2" name="Picture 1">
          <a:extLst>
            <a:ext uri="{FF2B5EF4-FFF2-40B4-BE49-F238E27FC236}">
              <a16:creationId xmlns:a16="http://schemas.microsoft.com/office/drawing/2014/main" id="{B55438AC-C8BC-47A2-87E3-857CF7565BF2}"/>
            </a:ext>
          </a:extLst>
        </xdr:cNvPr>
        <xdr:cNvPicPr>
          <a:picLocks noChangeAspect="1"/>
        </xdr:cNvPicPr>
      </xdr:nvPicPr>
      <xdr:blipFill>
        <a:blip xmlns:r="http://schemas.openxmlformats.org/officeDocument/2006/relationships" r:embed="rId1"/>
        <a:stretch>
          <a:fillRect/>
        </a:stretch>
      </xdr:blipFill>
      <xdr:spPr>
        <a:xfrm>
          <a:off x="0" y="0"/>
          <a:ext cx="523810" cy="523810"/>
        </a:xfrm>
        <a:prstGeom prst="rect">
          <a:avLst/>
        </a:prstGeom>
      </xdr:spPr>
    </xdr:pic>
    <xdr:clientData/>
  </xdr:twoCellAnchor>
</xdr:wsDr>
</file>

<file path=xl/theme/theme1.xml><?xml version="1.0" encoding="utf-8"?>
<a:theme xmlns:a="http://schemas.openxmlformats.org/drawingml/2006/main" name="Office Theme">
  <a:themeElements>
    <a:clrScheme name="SWIFT">
      <a:dk1>
        <a:sysClr val="windowText" lastClr="000000"/>
      </a:dk1>
      <a:lt1>
        <a:sysClr val="window" lastClr="FFFFFF"/>
      </a:lt1>
      <a:dk2>
        <a:srgbClr val="766C62"/>
      </a:dk2>
      <a:lt2>
        <a:srgbClr val="EEECE1"/>
      </a:lt2>
      <a:accent1>
        <a:srgbClr val="693695"/>
      </a:accent1>
      <a:accent2>
        <a:srgbClr val="970254"/>
      </a:accent2>
      <a:accent3>
        <a:srgbClr val="FFCC00"/>
      </a:accent3>
      <a:accent4>
        <a:srgbClr val="DB5D25"/>
      </a:accent4>
      <a:accent5>
        <a:srgbClr val="B5A300"/>
      </a:accent5>
      <a:accent6>
        <a:srgbClr val="827C34"/>
      </a:accent6>
      <a:hlink>
        <a:srgbClr val="F0AB00"/>
      </a:hlink>
      <a:folHlink>
        <a:srgbClr val="A0CFEB"/>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2.swift.com/knowledgecentre/subjects/kycsa/index.html?source=sdc_kycs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C22"/>
  <sheetViews>
    <sheetView showGridLines="0" tabSelected="1" zoomScaleNormal="100" zoomScalePageLayoutView="130" workbookViewId="0">
      <selection activeCell="C11" sqref="C11"/>
    </sheetView>
  </sheetViews>
  <sheetFormatPr defaultColWidth="8.81640625" defaultRowHeight="12.5" x14ac:dyDescent="0.25"/>
  <cols>
    <col min="1" max="1" width="8.81640625" style="3"/>
    <col min="2" max="2" width="3" style="3" bestFit="1" customWidth="1"/>
    <col min="3" max="3" width="200.7265625" style="3" customWidth="1"/>
    <col min="4" max="16384" width="8.81640625" style="3"/>
  </cols>
  <sheetData>
    <row r="1" spans="2:3" ht="20.5" thickBot="1" x14ac:dyDescent="0.3">
      <c r="B1" s="99" t="s">
        <v>421</v>
      </c>
      <c r="C1" s="100"/>
    </row>
    <row r="2" spans="2:3" ht="13.5" thickBot="1" x14ac:dyDescent="0.3">
      <c r="B2" s="95" t="s">
        <v>0</v>
      </c>
      <c r="C2" s="95"/>
    </row>
    <row r="3" spans="2:3" ht="42.75" customHeight="1" thickBot="1" x14ac:dyDescent="0.3">
      <c r="B3" s="96" t="s">
        <v>438</v>
      </c>
      <c r="C3" s="97"/>
    </row>
    <row r="4" spans="2:3" ht="13.5" thickBot="1" x14ac:dyDescent="0.3">
      <c r="B4" s="98" t="s">
        <v>1</v>
      </c>
      <c r="C4" s="98"/>
    </row>
    <row r="5" spans="2:3" ht="19.5" customHeight="1" x14ac:dyDescent="0.25">
      <c r="B5" s="64">
        <v>1</v>
      </c>
      <c r="C5" s="65" t="s">
        <v>2</v>
      </c>
    </row>
    <row r="6" spans="2:3" ht="81" customHeight="1" x14ac:dyDescent="0.25">
      <c r="B6" s="66">
        <v>2</v>
      </c>
      <c r="C6" s="67" t="s">
        <v>3</v>
      </c>
    </row>
    <row r="7" spans="2:3" ht="19.5" customHeight="1" x14ac:dyDescent="0.25">
      <c r="B7" s="66">
        <v>3</v>
      </c>
      <c r="C7" s="67" t="s">
        <v>4</v>
      </c>
    </row>
    <row r="8" spans="2:3" ht="45.75" customHeight="1" x14ac:dyDescent="0.25">
      <c r="B8" s="101">
        <v>4</v>
      </c>
      <c r="C8" s="68" t="s">
        <v>5</v>
      </c>
    </row>
    <row r="9" spans="2:3" ht="19.5" customHeight="1" x14ac:dyDescent="0.25">
      <c r="B9" s="102"/>
      <c r="C9" s="69" t="s">
        <v>6</v>
      </c>
    </row>
    <row r="10" spans="2:3" ht="33" customHeight="1" x14ac:dyDescent="0.25">
      <c r="B10" s="66">
        <v>5</v>
      </c>
      <c r="C10" s="70" t="s">
        <v>7</v>
      </c>
    </row>
    <row r="11" spans="2:3" ht="72" customHeight="1" x14ac:dyDescent="0.25">
      <c r="B11" s="66">
        <v>6</v>
      </c>
      <c r="C11" s="71" t="s">
        <v>8</v>
      </c>
    </row>
    <row r="12" spans="2:3" ht="33" customHeight="1" x14ac:dyDescent="0.25">
      <c r="B12" s="66">
        <v>7</v>
      </c>
      <c r="C12" s="70" t="s">
        <v>9</v>
      </c>
    </row>
    <row r="13" spans="2:3" ht="96" customHeight="1" x14ac:dyDescent="0.25">
      <c r="B13" s="66">
        <v>8</v>
      </c>
      <c r="C13" s="72" t="s">
        <v>10</v>
      </c>
    </row>
    <row r="14" spans="2:3" ht="33" customHeight="1" x14ac:dyDescent="0.25">
      <c r="B14" s="66">
        <v>9</v>
      </c>
      <c r="C14" s="71" t="s">
        <v>11</v>
      </c>
    </row>
    <row r="15" spans="2:3" ht="33" customHeight="1" x14ac:dyDescent="0.25">
      <c r="B15" s="66">
        <v>10</v>
      </c>
      <c r="C15" s="71" t="s">
        <v>12</v>
      </c>
    </row>
    <row r="16" spans="2:3" ht="33" customHeight="1" x14ac:dyDescent="0.25">
      <c r="B16" s="66">
        <v>11</v>
      </c>
      <c r="C16" s="71" t="s">
        <v>13</v>
      </c>
    </row>
    <row r="17" spans="2:3" ht="45" customHeight="1" x14ac:dyDescent="0.25">
      <c r="B17" s="66">
        <v>12</v>
      </c>
      <c r="C17" s="71" t="s">
        <v>14</v>
      </c>
    </row>
    <row r="18" spans="2:3" ht="33" customHeight="1" x14ac:dyDescent="0.25">
      <c r="B18" s="66">
        <v>13</v>
      </c>
      <c r="C18" s="71" t="s">
        <v>15</v>
      </c>
    </row>
    <row r="19" spans="2:3" ht="19.5" customHeight="1" x14ac:dyDescent="0.25">
      <c r="B19" s="66">
        <v>14</v>
      </c>
      <c r="C19" s="68" t="s">
        <v>16</v>
      </c>
    </row>
    <row r="20" spans="2:3" ht="33.75" customHeight="1" x14ac:dyDescent="0.25">
      <c r="B20" s="66">
        <v>15</v>
      </c>
      <c r="C20" s="71" t="s">
        <v>17</v>
      </c>
    </row>
    <row r="21" spans="2:3" ht="31.5" customHeight="1" x14ac:dyDescent="0.25">
      <c r="B21" s="66">
        <v>16</v>
      </c>
      <c r="C21" s="71" t="s">
        <v>18</v>
      </c>
    </row>
    <row r="22" spans="2:3" ht="34.5" customHeight="1" x14ac:dyDescent="0.25">
      <c r="B22" s="66">
        <v>17</v>
      </c>
      <c r="C22" s="71" t="s">
        <v>19</v>
      </c>
    </row>
  </sheetData>
  <mergeCells count="5">
    <mergeCell ref="B2:C2"/>
    <mergeCell ref="B3:C3"/>
    <mergeCell ref="B4:C4"/>
    <mergeCell ref="B1:C1"/>
    <mergeCell ref="B8:B9"/>
  </mergeCells>
  <hyperlinks>
    <hyperlink ref="C9" r:id="rId1" xr:uid="{3036F36B-34B2-49C0-A028-D13F66B1A8AF}"/>
  </hyperlinks>
  <pageMargins left="0.7" right="0.7" top="0.75" bottom="0.75" header="0.3" footer="0.3"/>
  <pageSetup scale="60" orientation="landscape" r:id="rId2"/>
  <headerFooter>
    <oddHeader>&amp;L&amp;8&amp;F - &amp;A Tab&amp;R&amp;8Template Version: 2019</oddHeader>
    <oddFooter>&amp;L&amp;8The information herein is confidential and will not disclosed to third parties without written permission&amp;R&amp;8Template Copyright © S.W.I.F.T. SCRL, 2019</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election activeCell="B13" sqref="B13"/>
    </sheetView>
  </sheetViews>
  <sheetFormatPr defaultRowHeight="14.5" x14ac:dyDescent="0.35"/>
  <cols>
    <col min="1" max="1" width="15.7265625" customWidth="1"/>
    <col min="2" max="2" width="105.7265625" customWidth="1"/>
  </cols>
  <sheetData>
    <row r="1" spans="1:2" ht="20" x14ac:dyDescent="0.35">
      <c r="A1" s="61" t="s">
        <v>20</v>
      </c>
      <c r="B1" s="61" t="s">
        <v>21</v>
      </c>
    </row>
    <row r="2" spans="1:2" x14ac:dyDescent="0.35">
      <c r="A2" s="73">
        <v>43861</v>
      </c>
      <c r="B2" s="57" t="s">
        <v>22</v>
      </c>
    </row>
    <row r="3" spans="1:2" x14ac:dyDescent="0.35">
      <c r="A3" s="73">
        <v>43861</v>
      </c>
      <c r="B3" s="57" t="s">
        <v>23</v>
      </c>
    </row>
    <row r="4" spans="1:2" ht="29" x14ac:dyDescent="0.35">
      <c r="A4" s="73">
        <v>43861</v>
      </c>
      <c r="B4" s="57" t="s">
        <v>24</v>
      </c>
    </row>
    <row r="5" spans="1:2" x14ac:dyDescent="0.35">
      <c r="A5" s="73">
        <v>44029</v>
      </c>
      <c r="B5" s="57" t="s">
        <v>25</v>
      </c>
    </row>
    <row r="6" spans="1:2" x14ac:dyDescent="0.35">
      <c r="A6" s="73">
        <v>44165</v>
      </c>
      <c r="B6" s="57" t="s">
        <v>26</v>
      </c>
    </row>
    <row r="7" spans="1:2" x14ac:dyDescent="0.35">
      <c r="A7" s="73">
        <v>44257</v>
      </c>
      <c r="B7" s="57" t="s">
        <v>27</v>
      </c>
    </row>
    <row r="8" spans="1:2" x14ac:dyDescent="0.35">
      <c r="A8" s="73">
        <v>44312</v>
      </c>
      <c r="B8" s="57" t="s">
        <v>28</v>
      </c>
    </row>
    <row r="9" spans="1:2" x14ac:dyDescent="0.35">
      <c r="A9" s="73">
        <v>44476</v>
      </c>
      <c r="B9" s="57" t="s">
        <v>29</v>
      </c>
    </row>
    <row r="10" spans="1:2" x14ac:dyDescent="0.35">
      <c r="A10" s="73">
        <v>44525</v>
      </c>
      <c r="B10" s="57" t="s">
        <v>30</v>
      </c>
    </row>
    <row r="11" spans="1:2" x14ac:dyDescent="0.35">
      <c r="A11" s="73">
        <v>44609</v>
      </c>
      <c r="B11" s="59" t="s">
        <v>31</v>
      </c>
    </row>
    <row r="12" spans="1:2" x14ac:dyDescent="0.35">
      <c r="A12" s="73">
        <v>44774</v>
      </c>
      <c r="B12" s="59" t="s">
        <v>32</v>
      </c>
    </row>
    <row r="13" spans="1:2" x14ac:dyDescent="0.35">
      <c r="A13" s="73">
        <v>45145</v>
      </c>
      <c r="B13" s="59" t="s">
        <v>33</v>
      </c>
    </row>
    <row r="14" spans="1:2" x14ac:dyDescent="0.35">
      <c r="A14" s="73">
        <v>45495</v>
      </c>
      <c r="B14" s="59" t="s">
        <v>422</v>
      </c>
    </row>
    <row r="15" spans="1:2" x14ac:dyDescent="0.35">
      <c r="A15" s="56"/>
      <c r="B15" s="58"/>
    </row>
    <row r="16" spans="1:2" x14ac:dyDescent="0.35">
      <c r="A16" s="56"/>
      <c r="B16" s="58"/>
    </row>
    <row r="17" spans="1:2" x14ac:dyDescent="0.35">
      <c r="A17" s="56"/>
      <c r="B17" s="58"/>
    </row>
    <row r="18" spans="1:2" x14ac:dyDescent="0.35">
      <c r="A18" s="56"/>
      <c r="B18" s="58"/>
    </row>
    <row r="19" spans="1:2" x14ac:dyDescent="0.35">
      <c r="A19" s="56"/>
      <c r="B19" s="58"/>
    </row>
    <row r="20" spans="1:2" x14ac:dyDescent="0.35">
      <c r="A20" s="56"/>
      <c r="B20" s="58"/>
    </row>
    <row r="21" spans="1:2" x14ac:dyDescent="0.35">
      <c r="A21" s="56"/>
      <c r="B21" s="58"/>
    </row>
    <row r="22" spans="1:2" x14ac:dyDescent="0.35">
      <c r="A22" s="56"/>
      <c r="B22" s="58"/>
    </row>
    <row r="23" spans="1:2" x14ac:dyDescent="0.35">
      <c r="A23" s="5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1"/>
  <sheetViews>
    <sheetView zoomScaleNormal="100" workbookViewId="0">
      <selection activeCell="B19" sqref="B19"/>
    </sheetView>
  </sheetViews>
  <sheetFormatPr defaultColWidth="8.81640625" defaultRowHeight="12.5" x14ac:dyDescent="0.25"/>
  <cols>
    <col min="1" max="1" width="20.81640625" style="3" customWidth="1"/>
    <col min="2" max="2" width="50.81640625" style="3" customWidth="1"/>
    <col min="3" max="16384" width="8.81640625" style="3"/>
  </cols>
  <sheetData>
    <row r="1" spans="1:2" ht="20" x14ac:dyDescent="0.25">
      <c r="A1" s="103" t="s">
        <v>34</v>
      </c>
      <c r="B1" s="104"/>
    </row>
    <row r="2" spans="1:2" ht="13" x14ac:dyDescent="0.25">
      <c r="A2" s="16" t="s">
        <v>35</v>
      </c>
      <c r="B2" s="24" t="s">
        <v>446</v>
      </c>
    </row>
    <row r="3" spans="1:2" ht="13" x14ac:dyDescent="0.25">
      <c r="A3" s="17" t="s">
        <v>36</v>
      </c>
      <c r="B3" s="94"/>
    </row>
    <row r="4" spans="1:2" ht="13" x14ac:dyDescent="0.25">
      <c r="A4" s="17" t="s">
        <v>37</v>
      </c>
      <c r="B4" s="25" t="s">
        <v>54</v>
      </c>
    </row>
    <row r="5" spans="1:2" ht="13" x14ac:dyDescent="0.25">
      <c r="A5" s="17" t="s">
        <v>38</v>
      </c>
      <c r="B5" s="26"/>
    </row>
    <row r="6" spans="1:2" ht="13" x14ac:dyDescent="0.25">
      <c r="A6" s="17" t="s">
        <v>39</v>
      </c>
      <c r="B6" s="26"/>
    </row>
    <row r="7" spans="1:2" ht="13" x14ac:dyDescent="0.25">
      <c r="A7" s="17" t="s">
        <v>40</v>
      </c>
      <c r="B7" s="25">
        <v>2025</v>
      </c>
    </row>
    <row r="8" spans="1:2" ht="13" x14ac:dyDescent="0.25">
      <c r="A8" s="17" t="s">
        <v>41</v>
      </c>
      <c r="B8" s="92"/>
    </row>
    <row r="9" spans="1:2" ht="13" x14ac:dyDescent="0.25">
      <c r="A9" s="23" t="s">
        <v>42</v>
      </c>
      <c r="B9" s="93"/>
    </row>
    <row r="10" spans="1:2" ht="13" x14ac:dyDescent="0.25">
      <c r="A10" s="23" t="s">
        <v>43</v>
      </c>
      <c r="B10" s="27"/>
    </row>
    <row r="11" spans="1:2" ht="26.5" customHeight="1" thickBot="1" x14ac:dyDescent="0.3">
      <c r="A11" s="18" t="s">
        <v>44</v>
      </c>
      <c r="B11" s="28"/>
    </row>
  </sheetData>
  <mergeCells count="1">
    <mergeCell ref="A1:B1"/>
  </mergeCells>
  <conditionalFormatting sqref="A3:D10 A13:D17 A19:D19 A21:D21">
    <cfRule type="expression" priority="1">
      <formula>$B$4="B"</formula>
    </cfRule>
  </conditionalFormatting>
  <dataValidations count="1">
    <dataValidation type="list" allowBlank="1" showInputMessage="1" showErrorMessage="1" sqref="B4" xr:uid="{00000000-0002-0000-0200-000000000000}">
      <formula1>"&lt;type&gt;,A1,A2,A3,A4,B"</formula1>
    </dataValidation>
  </dataValidations>
  <pageMargins left="0.7" right="0.7" top="0.75" bottom="0.75" header="0.3" footer="0.3"/>
  <pageSetup orientation="landscape" r:id="rId1"/>
  <headerFooter>
    <oddHeader>&amp;L&amp;8&amp;F - &amp;A Tab&amp;R&amp;8Template Version: 2019</oddHeader>
    <oddFooter>&amp;L&amp;8The information herein is confidential and will not disclosed to third parties without written permission&amp;R&amp;8Template Copyright © S.W.I.F.T. SCRL, 2019</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zoomScaleNormal="100" workbookViewId="0">
      <selection activeCell="B7" sqref="B7"/>
    </sheetView>
  </sheetViews>
  <sheetFormatPr defaultColWidth="8.81640625" defaultRowHeight="12.5" x14ac:dyDescent="0.25"/>
  <cols>
    <col min="1" max="1" width="29.7265625" style="3" customWidth="1"/>
    <col min="2" max="2" width="50.7265625" style="3" customWidth="1"/>
    <col min="3" max="7" width="12.7265625" style="3" customWidth="1"/>
    <col min="8" max="9" width="22.7265625" style="3" customWidth="1"/>
    <col min="10" max="16384" width="8.81640625" style="3"/>
  </cols>
  <sheetData>
    <row r="1" spans="1:9" ht="20.5" thickBot="1" x14ac:dyDescent="0.3">
      <c r="A1" s="105" t="s">
        <v>45</v>
      </c>
      <c r="B1" s="105"/>
      <c r="C1" s="105"/>
      <c r="D1" s="105"/>
      <c r="E1" s="105"/>
      <c r="F1" s="105"/>
      <c r="G1" s="105"/>
      <c r="H1" s="105"/>
      <c r="I1" s="105"/>
    </row>
    <row r="2" spans="1:9" ht="13" x14ac:dyDescent="0.25">
      <c r="A2" s="110" t="s">
        <v>46</v>
      </c>
      <c r="B2" s="108" t="s">
        <v>47</v>
      </c>
      <c r="C2" s="108" t="s">
        <v>48</v>
      </c>
      <c r="D2" s="108"/>
      <c r="E2" s="108"/>
      <c r="F2" s="108"/>
      <c r="G2" s="108"/>
      <c r="H2" s="108" t="s">
        <v>49</v>
      </c>
      <c r="I2" s="106" t="s">
        <v>50</v>
      </c>
    </row>
    <row r="3" spans="1:9" ht="13.5" thickBot="1" x14ac:dyDescent="0.3">
      <c r="A3" s="111"/>
      <c r="B3" s="109"/>
      <c r="C3" s="4" t="s">
        <v>51</v>
      </c>
      <c r="D3" s="4" t="s">
        <v>52</v>
      </c>
      <c r="E3" s="4" t="s">
        <v>53</v>
      </c>
      <c r="F3" s="4" t="s">
        <v>54</v>
      </c>
      <c r="G3" s="4" t="s">
        <v>55</v>
      </c>
      <c r="H3" s="109"/>
      <c r="I3" s="107"/>
    </row>
    <row r="4" spans="1:9" customFormat="1" ht="14.5" x14ac:dyDescent="0.35">
      <c r="A4" s="5" t="s">
        <v>418</v>
      </c>
      <c r="B4" s="6" t="s">
        <v>56</v>
      </c>
      <c r="C4" s="7" t="s">
        <v>57</v>
      </c>
      <c r="D4" s="7" t="s">
        <v>57</v>
      </c>
      <c r="E4" s="7" t="s">
        <v>57</v>
      </c>
      <c r="F4" s="7"/>
      <c r="G4" s="7"/>
      <c r="H4" s="22" t="str">
        <f>IF(OR('1.1'!D22="",'1.1'!D26="",'1.1'!D30="",'1.1'!D34="",'1.1'!D38="",'1.1'!D42=""),"TBD",IF(OR('1.1'!D22="Yes",'1.1'!D26="Yes",'1.1'!D30="Yes",'1.1'!D34="Yes",'1.1'!D38="Yes",'1.1'!D42="Yes"),"Alternative","Standard"))</f>
        <v>TBD</v>
      </c>
      <c r="I4" s="11" t="str">
        <f>'1.1'!D45</f>
        <v>Not Applicable</v>
      </c>
    </row>
    <row r="5" spans="1:9" customFormat="1" ht="14.5" x14ac:dyDescent="0.35">
      <c r="A5" s="8" t="s">
        <v>423</v>
      </c>
      <c r="B5" s="9" t="s">
        <v>58</v>
      </c>
      <c r="C5" s="10" t="s">
        <v>57</v>
      </c>
      <c r="D5" s="10" t="s">
        <v>57</v>
      </c>
      <c r="E5" s="10" t="s">
        <v>57</v>
      </c>
      <c r="F5" s="10" t="s">
        <v>57</v>
      </c>
      <c r="G5" s="52" t="s">
        <v>59</v>
      </c>
      <c r="H5" s="10" t="str">
        <f>IF('1.2'!D22="","TBD",IF('1.2'!D22="Yes","Alternative","Standard"))</f>
        <v>Standard</v>
      </c>
      <c r="I5" s="11" t="str">
        <f>'1.2'!D25</f>
        <v>In Place</v>
      </c>
    </row>
    <row r="6" spans="1:9" customFormat="1" ht="14.5" x14ac:dyDescent="0.35">
      <c r="A6" s="8" t="s">
        <v>424</v>
      </c>
      <c r="B6" s="9" t="s">
        <v>60</v>
      </c>
      <c r="C6" s="10" t="s">
        <v>57</v>
      </c>
      <c r="D6" s="10" t="s">
        <v>57</v>
      </c>
      <c r="E6" s="10" t="s">
        <v>57</v>
      </c>
      <c r="F6" s="10" t="s">
        <v>57</v>
      </c>
      <c r="G6" s="52" t="s">
        <v>59</v>
      </c>
      <c r="H6" s="10" t="str">
        <f>IF('1.3'!D25="","TBD",IF('1.3'!D25="Yes","Alternative","Standard"))</f>
        <v>Standard</v>
      </c>
      <c r="I6" s="11" t="str">
        <f>'1.3'!D28</f>
        <v>In Place</v>
      </c>
    </row>
    <row r="7" spans="1:9" customFormat="1" ht="14.5" x14ac:dyDescent="0.35">
      <c r="A7" s="35" t="s">
        <v>419</v>
      </c>
      <c r="B7" s="36" t="s">
        <v>61</v>
      </c>
      <c r="C7" s="37" t="s">
        <v>57</v>
      </c>
      <c r="D7" s="37" t="s">
        <v>57</v>
      </c>
      <c r="E7" s="37" t="s">
        <v>57</v>
      </c>
      <c r="F7" s="10" t="s">
        <v>57</v>
      </c>
      <c r="G7" s="37" t="s">
        <v>57</v>
      </c>
      <c r="H7" s="37" t="str">
        <f>IF('1.4'!D23="","TBD",IF('1.4'!D23="Yes","Alternative","Standard"))</f>
        <v>Standard</v>
      </c>
      <c r="I7" s="11" t="str">
        <f>'1.4'!D26</f>
        <v>In Place</v>
      </c>
    </row>
    <row r="8" spans="1:9" customFormat="1" ht="14.5" x14ac:dyDescent="0.35">
      <c r="A8" s="35" t="s">
        <v>171</v>
      </c>
      <c r="B8" s="36" t="s">
        <v>62</v>
      </c>
      <c r="C8" s="37"/>
      <c r="D8" s="37"/>
      <c r="E8" s="37"/>
      <c r="F8" s="10" t="s">
        <v>57</v>
      </c>
      <c r="G8" s="37"/>
      <c r="H8" s="37" t="str">
        <f>IF(OR('1.5'!D18="",'1.5'!D22="",'1.5'!D26="",'1.5'!D30="",'1.5'!D34="",'1.5'!D38=""),"TBD",IF(OR('1.5'!D18="Yes",'1.5'!D22="Yes",'1.5'!D26="Yes",'1.5'!D30="Yes",'1.5'!D34="Yes",'1.5'!D38="Yes"),"Alternative","Standard"))</f>
        <v>Standard</v>
      </c>
      <c r="I8" s="11" t="str">
        <f>'1.5'!D41</f>
        <v>In Place</v>
      </c>
    </row>
    <row r="9" spans="1:9" customFormat="1" ht="14.5" x14ac:dyDescent="0.35">
      <c r="A9" s="8" t="s">
        <v>409</v>
      </c>
      <c r="B9" s="9" t="s">
        <v>63</v>
      </c>
      <c r="C9" s="10" t="s">
        <v>57</v>
      </c>
      <c r="D9" s="10" t="s">
        <v>57</v>
      </c>
      <c r="E9" s="10" t="s">
        <v>57</v>
      </c>
      <c r="F9" s="10"/>
      <c r="G9" s="10"/>
      <c r="H9" s="10" t="str">
        <f>IF('2.1'!D17="","TBD",IF('2.1'!D17="Yes","Alternative","Standard"))</f>
        <v>TBD</v>
      </c>
      <c r="I9" s="11" t="str">
        <f>'2.1'!D20</f>
        <v>Not Applicable</v>
      </c>
    </row>
    <row r="10" spans="1:9" customFormat="1" ht="14.5" x14ac:dyDescent="0.35">
      <c r="A10" s="8" t="s">
        <v>410</v>
      </c>
      <c r="B10" s="9" t="s">
        <v>64</v>
      </c>
      <c r="C10" s="10" t="s">
        <v>57</v>
      </c>
      <c r="D10" s="10" t="s">
        <v>57</v>
      </c>
      <c r="E10" s="10" t="s">
        <v>57</v>
      </c>
      <c r="F10" s="10" t="s">
        <v>57</v>
      </c>
      <c r="G10" s="10" t="s">
        <v>57</v>
      </c>
      <c r="H10" s="10" t="str">
        <f>IF('2.2'!D21="","TBD",IF('2.2'!D21="Yes","Alternative","Standard"))</f>
        <v>Standard</v>
      </c>
      <c r="I10" s="11" t="str">
        <f>'2.2'!D24</f>
        <v>In Place</v>
      </c>
    </row>
    <row r="11" spans="1:9" customFormat="1" ht="14.5" x14ac:dyDescent="0.35">
      <c r="A11" s="8" t="s">
        <v>411</v>
      </c>
      <c r="B11" s="9" t="s">
        <v>65</v>
      </c>
      <c r="C11" s="10" t="s">
        <v>57</v>
      </c>
      <c r="D11" s="10" t="s">
        <v>57</v>
      </c>
      <c r="E11" s="10" t="s">
        <v>57</v>
      </c>
      <c r="F11" s="10" t="s">
        <v>57</v>
      </c>
      <c r="G11" s="10" t="s">
        <v>57</v>
      </c>
      <c r="H11" s="10" t="str">
        <f>IF('2.3'!D19="","TBD",IF('2.3'!D19="Yes","Alternative","Standard"))</f>
        <v>Standard</v>
      </c>
      <c r="I11" s="11" t="str">
        <f>'2.3'!D22</f>
        <v>In Place</v>
      </c>
    </row>
    <row r="12" spans="1:9" customFormat="1" ht="14.5" x14ac:dyDescent="0.35">
      <c r="A12" s="8" t="s">
        <v>420</v>
      </c>
      <c r="B12" s="9" t="s">
        <v>66</v>
      </c>
      <c r="C12" s="10" t="s">
        <v>57</v>
      </c>
      <c r="D12" s="10" t="s">
        <v>57</v>
      </c>
      <c r="E12" s="10" t="s">
        <v>57</v>
      </c>
      <c r="F12" s="10" t="s">
        <v>57</v>
      </c>
      <c r="G12" s="10" t="s">
        <v>57</v>
      </c>
      <c r="H12" s="10" t="str">
        <f>IF('2.6'!D25="","TBD",IF('2.6'!D25="Yes","Alternative","Standard"))</f>
        <v>Standard</v>
      </c>
      <c r="I12" s="11" t="str">
        <f>'2.6'!D28</f>
        <v>In Place</v>
      </c>
    </row>
    <row r="13" spans="1:9" customFormat="1" ht="14.5" x14ac:dyDescent="0.35">
      <c r="A13" s="35" t="s">
        <v>425</v>
      </c>
      <c r="B13" s="36" t="s">
        <v>67</v>
      </c>
      <c r="C13" s="37" t="s">
        <v>57</v>
      </c>
      <c r="D13" s="37" t="s">
        <v>57</v>
      </c>
      <c r="E13" s="37" t="s">
        <v>57</v>
      </c>
      <c r="F13" s="10" t="s">
        <v>57</v>
      </c>
      <c r="G13" s="52" t="s">
        <v>59</v>
      </c>
      <c r="H13" s="37" t="str">
        <f>IF('2.7'!D19="","TBD",IF('2.7'!D19="Yes","Alternative","Standard"))</f>
        <v>Standard</v>
      </c>
      <c r="I13" s="11" t="str">
        <f>'2.7'!D22</f>
        <v>In Place</v>
      </c>
    </row>
    <row r="14" spans="1:9" customFormat="1" ht="14.5" x14ac:dyDescent="0.35">
      <c r="A14" s="35" t="s">
        <v>426</v>
      </c>
      <c r="B14" s="36" t="s">
        <v>68</v>
      </c>
      <c r="C14" s="37" t="s">
        <v>57</v>
      </c>
      <c r="D14" s="37" t="s">
        <v>57</v>
      </c>
      <c r="E14" s="37" t="s">
        <v>57</v>
      </c>
      <c r="F14" s="10" t="s">
        <v>57</v>
      </c>
      <c r="G14" s="10" t="s">
        <v>57</v>
      </c>
      <c r="H14" s="37" t="str">
        <f>IF('2.8'!D16="","TBD",IF('2.8'!D16="Yes","Alternative","Standard"))</f>
        <v>Standard</v>
      </c>
      <c r="I14" s="11" t="str">
        <f>'2.8'!D19</f>
        <v>In Place</v>
      </c>
    </row>
    <row r="15" spans="1:9" customFormat="1" ht="14.5" x14ac:dyDescent="0.35">
      <c r="A15" s="35" t="s">
        <v>427</v>
      </c>
      <c r="B15" s="36" t="s">
        <v>69</v>
      </c>
      <c r="C15" s="37" t="s">
        <v>57</v>
      </c>
      <c r="D15" s="37" t="s">
        <v>57</v>
      </c>
      <c r="E15" s="37" t="s">
        <v>57</v>
      </c>
      <c r="F15" s="10" t="s">
        <v>57</v>
      </c>
      <c r="G15" s="10" t="s">
        <v>57</v>
      </c>
      <c r="H15" s="37" t="str">
        <f>IF('2.9'!D14="","TBD",IF('2.9'!D14="Yes","Alternative","Standard"))</f>
        <v>Standard</v>
      </c>
      <c r="I15" s="11" t="str">
        <f>'2.9'!D17</f>
        <v>In Place</v>
      </c>
    </row>
    <row r="16" spans="1:9" customFormat="1" ht="14.5" x14ac:dyDescent="0.35">
      <c r="A16" s="32" t="s">
        <v>70</v>
      </c>
      <c r="B16" s="9" t="s">
        <v>71</v>
      </c>
      <c r="C16" s="10" t="s">
        <v>57</v>
      </c>
      <c r="D16" s="10" t="s">
        <v>57</v>
      </c>
      <c r="E16" s="10" t="s">
        <v>57</v>
      </c>
      <c r="F16" s="10"/>
      <c r="G16" s="10"/>
      <c r="H16" s="10" t="str">
        <f>IF('2.10'!D17="","TBD",IF('2.10'!D17="Yes","Alternative","Standard"))</f>
        <v>TBD</v>
      </c>
      <c r="I16" s="11" t="str">
        <f>'2.10'!D20</f>
        <v>Not Applicable</v>
      </c>
    </row>
    <row r="17" spans="1:9" ht="13" x14ac:dyDescent="0.25">
      <c r="A17" s="8" t="s">
        <v>428</v>
      </c>
      <c r="B17" s="9" t="s">
        <v>72</v>
      </c>
      <c r="C17" s="10" t="s">
        <v>57</v>
      </c>
      <c r="D17" s="10" t="s">
        <v>57</v>
      </c>
      <c r="E17" s="10" t="s">
        <v>57</v>
      </c>
      <c r="F17" s="10" t="s">
        <v>57</v>
      </c>
      <c r="G17" s="10" t="s">
        <v>57</v>
      </c>
      <c r="H17" s="10" t="str">
        <f>IF('3.1'!D20="","TBD",IF('3.1'!D20="Yes","Alternative","Standard"))</f>
        <v>Standard</v>
      </c>
      <c r="I17" s="11" t="str">
        <f>'3.1'!D23</f>
        <v>In Place</v>
      </c>
    </row>
    <row r="18" spans="1:9" ht="13" x14ac:dyDescent="0.25">
      <c r="A18" s="8" t="s">
        <v>429</v>
      </c>
      <c r="B18" s="9" t="s">
        <v>73</v>
      </c>
      <c r="C18" s="10" t="s">
        <v>57</v>
      </c>
      <c r="D18" s="10" t="s">
        <v>57</v>
      </c>
      <c r="E18" s="10" t="s">
        <v>57</v>
      </c>
      <c r="F18" s="10" t="s">
        <v>57</v>
      </c>
      <c r="G18" s="10" t="s">
        <v>57</v>
      </c>
      <c r="H18" s="10" t="str">
        <f>IF('4.1'!D22="","TBD",IF('4.1'!D22="Yes","Alternative","Standard"))</f>
        <v>Standard</v>
      </c>
      <c r="I18" s="11" t="str">
        <f>'4.1'!D25</f>
        <v>In Place</v>
      </c>
    </row>
    <row r="19" spans="1:9" ht="13" x14ac:dyDescent="0.25">
      <c r="A19" s="8" t="s">
        <v>430</v>
      </c>
      <c r="B19" s="9" t="s">
        <v>74</v>
      </c>
      <c r="C19" s="10" t="s">
        <v>57</v>
      </c>
      <c r="D19" s="10" t="s">
        <v>57</v>
      </c>
      <c r="E19" s="10" t="s">
        <v>57</v>
      </c>
      <c r="F19" s="10" t="s">
        <v>57</v>
      </c>
      <c r="G19" s="10" t="s">
        <v>57</v>
      </c>
      <c r="H19" s="10" t="str">
        <f>IF('4.2'!D18="","TBD",IF('4.2'!D18="Yes","Alternative","Standard"))</f>
        <v>Standard</v>
      </c>
      <c r="I19" s="11" t="str">
        <f>'4.2'!D21</f>
        <v>In Place</v>
      </c>
    </row>
    <row r="20" spans="1:9" ht="13" x14ac:dyDescent="0.25">
      <c r="A20" s="8" t="s">
        <v>431</v>
      </c>
      <c r="B20" s="9" t="s">
        <v>75</v>
      </c>
      <c r="C20" s="10" t="s">
        <v>57</v>
      </c>
      <c r="D20" s="10" t="s">
        <v>57</v>
      </c>
      <c r="E20" s="10" t="s">
        <v>57</v>
      </c>
      <c r="F20" s="10" t="s">
        <v>57</v>
      </c>
      <c r="G20" s="10" t="s">
        <v>57</v>
      </c>
      <c r="H20" s="10" t="str">
        <f>IF('5.1'!D23="","TBD",IF('5.1'!D23="Yes","Alternative","Standard"))</f>
        <v>Standard</v>
      </c>
      <c r="I20" s="11" t="str">
        <f>'5.1'!D26</f>
        <v>In Place</v>
      </c>
    </row>
    <row r="21" spans="1:9" ht="13" x14ac:dyDescent="0.25">
      <c r="A21" s="8" t="s">
        <v>412</v>
      </c>
      <c r="B21" s="9" t="s">
        <v>76</v>
      </c>
      <c r="C21" s="10" t="s">
        <v>57</v>
      </c>
      <c r="D21" s="10" t="s">
        <v>57</v>
      </c>
      <c r="E21" s="10" t="s">
        <v>57</v>
      </c>
      <c r="F21" s="10" t="s">
        <v>57</v>
      </c>
      <c r="G21" s="10" t="s">
        <v>57</v>
      </c>
      <c r="H21" s="10" t="str">
        <f>IF('5.2'!D16="","TBD",IF('5.2'!D16="Yes","Alternative","Standard"))</f>
        <v>Standard</v>
      </c>
      <c r="I21" s="11" t="str">
        <f>'5.2'!D19</f>
        <v>In Place</v>
      </c>
    </row>
    <row r="22" spans="1:9" ht="13" x14ac:dyDescent="0.25">
      <c r="A22" s="8" t="s">
        <v>413</v>
      </c>
      <c r="B22" s="9" t="s">
        <v>77</v>
      </c>
      <c r="C22" s="10" t="s">
        <v>57</v>
      </c>
      <c r="D22" s="10" t="s">
        <v>57</v>
      </c>
      <c r="E22" s="10" t="s">
        <v>57</v>
      </c>
      <c r="F22" s="10" t="s">
        <v>57</v>
      </c>
      <c r="G22" s="10" t="s">
        <v>57</v>
      </c>
      <c r="H22" s="10" t="str">
        <f>IF('5.4'!D23="","TBD",IF('5.4'!D23="Yes","Alternative","Standard"))</f>
        <v>Standard</v>
      </c>
      <c r="I22" s="11" t="str">
        <f>'5.4'!D26</f>
        <v>In Place</v>
      </c>
    </row>
    <row r="23" spans="1:9" ht="13" x14ac:dyDescent="0.25">
      <c r="A23" s="8" t="s">
        <v>414</v>
      </c>
      <c r="B23" s="9" t="s">
        <v>78</v>
      </c>
      <c r="C23" s="10" t="s">
        <v>57</v>
      </c>
      <c r="D23" s="10" t="s">
        <v>57</v>
      </c>
      <c r="E23" s="10" t="s">
        <v>57</v>
      </c>
      <c r="F23" s="10" t="s">
        <v>57</v>
      </c>
      <c r="G23" s="10" t="s">
        <v>57</v>
      </c>
      <c r="H23" s="10" t="str">
        <f>IF('6.1'!D19="","TBD",IF('6.1'!D19="Yes","Alternative","Standard"))</f>
        <v>Standard</v>
      </c>
      <c r="I23" s="11" t="str">
        <f>'6.1'!D22</f>
        <v>In Place</v>
      </c>
    </row>
    <row r="24" spans="1:9" ht="13" x14ac:dyDescent="0.25">
      <c r="A24" s="8" t="s">
        <v>432</v>
      </c>
      <c r="B24" s="9" t="s">
        <v>79</v>
      </c>
      <c r="C24" s="10" t="s">
        <v>57</v>
      </c>
      <c r="D24" s="10" t="s">
        <v>57</v>
      </c>
      <c r="E24" s="10" t="s">
        <v>57</v>
      </c>
      <c r="F24" s="52" t="s">
        <v>59</v>
      </c>
      <c r="G24" s="10"/>
      <c r="H24" s="10" t="str">
        <f>IF('6.2'!D20="","TBD",IF('6.2'!D20="Yes","Alternative","Standard"))</f>
        <v>TBD</v>
      </c>
      <c r="I24" s="11"/>
    </row>
    <row r="25" spans="1:9" ht="13" x14ac:dyDescent="0.25">
      <c r="A25" s="8" t="s">
        <v>433</v>
      </c>
      <c r="B25" s="9" t="s">
        <v>80</v>
      </c>
      <c r="C25" s="10" t="s">
        <v>57</v>
      </c>
      <c r="D25" s="10" t="s">
        <v>57</v>
      </c>
      <c r="E25" s="10"/>
      <c r="F25" s="52" t="s">
        <v>59</v>
      </c>
      <c r="G25" s="10"/>
      <c r="H25" s="10" t="str">
        <f>IF('6.3'!D13="","TBD",IF('6.3'!D13="Yes","Alternative","Standard"))</f>
        <v>TBD</v>
      </c>
      <c r="I25" s="11"/>
    </row>
    <row r="26" spans="1:9" ht="13" x14ac:dyDescent="0.25">
      <c r="A26" s="8" t="s">
        <v>415</v>
      </c>
      <c r="B26" s="9" t="s">
        <v>81</v>
      </c>
      <c r="C26" s="10" t="s">
        <v>57</v>
      </c>
      <c r="D26" s="10" t="s">
        <v>57</v>
      </c>
      <c r="E26" s="10" t="s">
        <v>57</v>
      </c>
      <c r="F26" s="10" t="s">
        <v>57</v>
      </c>
      <c r="G26" s="10" t="s">
        <v>57</v>
      </c>
      <c r="H26" s="10" t="str">
        <f>IF('6.4'!D23="","TBD",IF('6.4'!D23="Yes","Alternative","Standard"))</f>
        <v>Standard</v>
      </c>
      <c r="I26" s="11" t="str">
        <f>'6.4'!D26</f>
        <v>In Place</v>
      </c>
    </row>
    <row r="27" spans="1:9" ht="13" x14ac:dyDescent="0.25">
      <c r="A27" s="8" t="s">
        <v>416</v>
      </c>
      <c r="B27" s="9" t="s">
        <v>82</v>
      </c>
      <c r="C27" s="10" t="s">
        <v>57</v>
      </c>
      <c r="D27" s="10" t="s">
        <v>57</v>
      </c>
      <c r="E27" s="10" t="s">
        <v>57</v>
      </c>
      <c r="F27" s="10" t="s">
        <v>57</v>
      </c>
      <c r="G27" s="10" t="s">
        <v>57</v>
      </c>
      <c r="H27" s="10" t="str">
        <f>IF('7.1'!D13="","TBD",IF('7.1'!D13="Yes","Alternative","Standard"))</f>
        <v>Standard</v>
      </c>
      <c r="I27" s="11" t="str">
        <f>'7.1'!D16</f>
        <v>In Place</v>
      </c>
    </row>
    <row r="28" spans="1:9" ht="13.5" thickBot="1" x14ac:dyDescent="0.3">
      <c r="A28" s="12" t="s">
        <v>417</v>
      </c>
      <c r="B28" s="13" t="s">
        <v>83</v>
      </c>
      <c r="C28" s="14" t="s">
        <v>57</v>
      </c>
      <c r="D28" s="14" t="s">
        <v>57</v>
      </c>
      <c r="E28" s="14" t="s">
        <v>57</v>
      </c>
      <c r="F28" s="14" t="s">
        <v>57</v>
      </c>
      <c r="G28" s="14" t="s">
        <v>57</v>
      </c>
      <c r="H28" s="14" t="str">
        <f>IF('7.2'!D13="","TBD",IF('7.2'!D13="Yes","Alternative","Standard"))</f>
        <v>Standard</v>
      </c>
      <c r="I28" s="15" t="str">
        <f>'7.2'!D16</f>
        <v>In Place</v>
      </c>
    </row>
    <row r="30" spans="1:9" ht="143" x14ac:dyDescent="0.3">
      <c r="H30" s="85" t="s">
        <v>84</v>
      </c>
    </row>
  </sheetData>
  <mergeCells count="6">
    <mergeCell ref="A1:I1"/>
    <mergeCell ref="I2:I3"/>
    <mergeCell ref="H2:H3"/>
    <mergeCell ref="C2:G2"/>
    <mergeCell ref="B2:B3"/>
    <mergeCell ref="A2:A3"/>
  </mergeCells>
  <conditionalFormatting sqref="A15:H16">
    <cfRule type="expression" dxfId="183" priority="19">
      <formula>$I15="Not Applicable"</formula>
    </cfRule>
  </conditionalFormatting>
  <conditionalFormatting sqref="A4:I14">
    <cfRule type="expression" dxfId="182" priority="1">
      <formula>$I4="Not Applicable"</formula>
    </cfRule>
  </conditionalFormatting>
  <conditionalFormatting sqref="A17:I28">
    <cfRule type="expression" dxfId="181" priority="22">
      <formula>$I17="Not Applicable"</formula>
    </cfRule>
  </conditionalFormatting>
  <conditionalFormatting sqref="I4:I17">
    <cfRule type="expression" dxfId="180" priority="25">
      <formula>$I4="Not Applicable"</formula>
    </cfRule>
  </conditionalFormatting>
  <conditionalFormatting sqref="I4:I28">
    <cfRule type="cellIs" dxfId="179" priority="24" operator="equal">
      <formula>"Not Applicable"</formula>
    </cfRule>
    <cfRule type="cellIs" dxfId="178" priority="26" operator="equal">
      <formula>"Not in Place"</formula>
    </cfRule>
    <cfRule type="cellIs" dxfId="177" priority="27" operator="equal">
      <formula>"In Place"</formula>
    </cfRule>
  </conditionalFormatting>
  <pageMargins left="0.7" right="0.7" top="0.75" bottom="0.75" header="0.3" footer="0.3"/>
  <pageSetup scale="74" orientation="landscape" r:id="rId1"/>
  <headerFooter>
    <oddHeader>&amp;L&amp;8&amp;F - &amp;A Tab&amp;R&amp;8Template Version: 2019</oddHeader>
    <oddFooter>&amp;L&amp;8The information herein is confidential and will not disclosed to third parties without written permission&amp;R&amp;8Template Copyright © S.W.I.F.T. SCRL, 2019</oddFooter>
  </headerFooter>
  <ignoredErrors>
    <ignoredError sqref="A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F47"/>
  <sheetViews>
    <sheetView topLeftCell="A27" zoomScaleNormal="100" workbookViewId="0">
      <selection activeCell="A8" sqref="A8:B8"/>
    </sheetView>
  </sheetViews>
  <sheetFormatPr defaultColWidth="8.81640625" defaultRowHeight="12.5" x14ac:dyDescent="0.25"/>
  <cols>
    <col min="1" max="1" width="16.7265625" style="1" customWidth="1"/>
    <col min="2" max="3" width="75.7265625" style="1" customWidth="1"/>
    <col min="4" max="4" width="16.7265625" style="1" customWidth="1"/>
    <col min="5" max="16384" width="8.81640625" style="1"/>
  </cols>
  <sheetData>
    <row r="1" spans="1:4" ht="20.5" thickBot="1" x14ac:dyDescent="0.3">
      <c r="A1" s="62" t="s">
        <v>418</v>
      </c>
      <c r="B1" s="139" t="s">
        <v>85</v>
      </c>
      <c r="C1" s="139"/>
      <c r="D1" s="140"/>
    </row>
    <row r="2" spans="1:4" ht="16" thickBot="1" x14ac:dyDescent="0.3">
      <c r="A2" s="113" t="s">
        <v>86</v>
      </c>
      <c r="B2" s="114"/>
      <c r="C2" s="114"/>
      <c r="D2" s="115"/>
    </row>
    <row r="3" spans="1:4" ht="37.75" customHeight="1" x14ac:dyDescent="0.25">
      <c r="A3" s="141" t="s">
        <v>87</v>
      </c>
      <c r="B3" s="142"/>
      <c r="C3" s="142"/>
      <c r="D3" s="143"/>
    </row>
    <row r="4" spans="1:4" ht="15.5" x14ac:dyDescent="0.25">
      <c r="A4" s="126" t="s">
        <v>88</v>
      </c>
      <c r="B4" s="116"/>
      <c r="C4" s="116" t="s">
        <v>89</v>
      </c>
      <c r="D4" s="117"/>
    </row>
    <row r="5" spans="1:4" ht="13.5" customHeight="1" x14ac:dyDescent="0.25">
      <c r="A5" s="150" t="s">
        <v>90</v>
      </c>
      <c r="B5" s="127"/>
      <c r="C5" s="127" t="s">
        <v>91</v>
      </c>
      <c r="D5" s="128"/>
    </row>
    <row r="6" spans="1:4" ht="13.5" customHeight="1" x14ac:dyDescent="0.25">
      <c r="A6" s="147" t="s">
        <v>92</v>
      </c>
      <c r="B6" s="124"/>
      <c r="C6" s="124" t="s">
        <v>93</v>
      </c>
      <c r="D6" s="125"/>
    </row>
    <row r="7" spans="1:4" ht="13.5" customHeight="1" x14ac:dyDescent="0.25">
      <c r="A7" s="147" t="s">
        <v>94</v>
      </c>
      <c r="B7" s="124"/>
      <c r="C7" s="124" t="s">
        <v>95</v>
      </c>
      <c r="D7" s="125"/>
    </row>
    <row r="8" spans="1:4" ht="13.5" customHeight="1" x14ac:dyDescent="0.25">
      <c r="A8" s="147" t="s">
        <v>96</v>
      </c>
      <c r="B8" s="124"/>
      <c r="C8" s="124" t="s">
        <v>97</v>
      </c>
      <c r="D8" s="125"/>
    </row>
    <row r="9" spans="1:4" ht="13.5" customHeight="1" x14ac:dyDescent="0.25">
      <c r="A9" s="147" t="s">
        <v>98</v>
      </c>
      <c r="B9" s="124"/>
      <c r="C9" s="124" t="s">
        <v>99</v>
      </c>
      <c r="D9" s="125"/>
    </row>
    <row r="10" spans="1:4" ht="13.5" customHeight="1" x14ac:dyDescent="0.25">
      <c r="A10" s="148" t="s">
        <v>100</v>
      </c>
      <c r="B10" s="149"/>
      <c r="C10" s="124"/>
      <c r="D10" s="125"/>
    </row>
    <row r="11" spans="1:4" ht="13.5" customHeight="1" x14ac:dyDescent="0.25">
      <c r="A11" s="151" t="s">
        <v>370</v>
      </c>
      <c r="B11" s="152"/>
      <c r="C11" s="86"/>
      <c r="D11" s="87"/>
    </row>
    <row r="12" spans="1:4" ht="13.5" customHeight="1" x14ac:dyDescent="0.25">
      <c r="A12" s="147" t="s">
        <v>101</v>
      </c>
      <c r="B12" s="124"/>
      <c r="C12" s="124"/>
      <c r="D12" s="125"/>
    </row>
    <row r="13" spans="1:4" ht="13.5" customHeight="1" x14ac:dyDescent="0.25">
      <c r="A13" s="146" t="s">
        <v>102</v>
      </c>
      <c r="B13" s="144"/>
      <c r="C13" s="144"/>
      <c r="D13" s="145"/>
    </row>
    <row r="14" spans="1:4" ht="39.75" customHeight="1" x14ac:dyDescent="0.25">
      <c r="A14" s="121" t="s">
        <v>103</v>
      </c>
      <c r="B14" s="122"/>
      <c r="C14" s="122"/>
      <c r="D14" s="123"/>
    </row>
    <row r="15" spans="1:4" ht="53.25" customHeight="1" thickBot="1" x14ac:dyDescent="0.3">
      <c r="A15" s="118" t="s">
        <v>104</v>
      </c>
      <c r="B15" s="119"/>
      <c r="C15" s="119"/>
      <c r="D15" s="120"/>
    </row>
    <row r="16" spans="1:4" ht="15" customHeight="1" thickBot="1" x14ac:dyDescent="0.3">
      <c r="A16" s="136" t="s">
        <v>105</v>
      </c>
      <c r="B16" s="137"/>
      <c r="C16" s="137"/>
      <c r="D16" s="138"/>
    </row>
    <row r="17" spans="1:6" ht="13" x14ac:dyDescent="0.25">
      <c r="A17" s="132" t="s">
        <v>106</v>
      </c>
      <c r="B17" s="133"/>
      <c r="C17" s="133"/>
      <c r="D17" s="134"/>
    </row>
    <row r="18" spans="1:6" customFormat="1" ht="137.25" customHeight="1" x14ac:dyDescent="0.35">
      <c r="A18" s="153" t="s">
        <v>107</v>
      </c>
      <c r="B18" s="154"/>
      <c r="C18" s="154"/>
      <c r="D18" s="155"/>
    </row>
    <row r="19" spans="1:6" ht="13" x14ac:dyDescent="0.25">
      <c r="A19" s="19" t="s">
        <v>108</v>
      </c>
      <c r="B19" s="129"/>
      <c r="C19" s="130"/>
      <c r="D19" s="131"/>
    </row>
    <row r="20" spans="1:6" ht="13" x14ac:dyDescent="0.25">
      <c r="A20" s="2" t="s">
        <v>109</v>
      </c>
      <c r="B20" s="135" t="s">
        <v>110</v>
      </c>
      <c r="C20" s="135"/>
      <c r="D20" s="29"/>
      <c r="F20" s="21"/>
    </row>
    <row r="21" spans="1:6" ht="109.5" customHeight="1" x14ac:dyDescent="0.25">
      <c r="A21" s="156" t="s">
        <v>111</v>
      </c>
      <c r="B21" s="167" t="s">
        <v>112</v>
      </c>
      <c r="C21" s="167"/>
      <c r="D21" s="168"/>
    </row>
    <row r="22" spans="1:6" ht="13" x14ac:dyDescent="0.25">
      <c r="A22" s="157"/>
      <c r="B22" s="159" t="s">
        <v>113</v>
      </c>
      <c r="C22" s="160"/>
      <c r="D22" s="30"/>
    </row>
    <row r="23" spans="1:6" ht="157.5" customHeight="1" thickBot="1" x14ac:dyDescent="0.3">
      <c r="A23" s="158"/>
      <c r="B23" s="161" t="s">
        <v>114</v>
      </c>
      <c r="C23" s="162"/>
      <c r="D23" s="163"/>
    </row>
    <row r="24" spans="1:6" ht="13" x14ac:dyDescent="0.25">
      <c r="A24" s="19" t="s">
        <v>115</v>
      </c>
      <c r="B24" s="112" t="s">
        <v>116</v>
      </c>
      <c r="C24" s="112"/>
      <c r="D24" s="31"/>
    </row>
    <row r="25" spans="1:6" ht="149.25" customHeight="1" x14ac:dyDescent="0.25">
      <c r="A25" s="164" t="s">
        <v>117</v>
      </c>
      <c r="B25" s="167" t="s">
        <v>112</v>
      </c>
      <c r="C25" s="167"/>
      <c r="D25" s="168"/>
    </row>
    <row r="26" spans="1:6" ht="13" x14ac:dyDescent="0.25">
      <c r="A26" s="165"/>
      <c r="B26" s="159" t="s">
        <v>113</v>
      </c>
      <c r="C26" s="160"/>
      <c r="D26" s="30"/>
    </row>
    <row r="27" spans="1:6" ht="129" customHeight="1" thickBot="1" x14ac:dyDescent="0.3">
      <c r="A27" s="166"/>
      <c r="B27" s="161" t="s">
        <v>114</v>
      </c>
      <c r="C27" s="162"/>
      <c r="D27" s="163"/>
    </row>
    <row r="28" spans="1:6" ht="13" x14ac:dyDescent="0.25">
      <c r="A28" s="19" t="s">
        <v>118</v>
      </c>
      <c r="B28" s="112" t="s">
        <v>119</v>
      </c>
      <c r="C28" s="112"/>
      <c r="D28" s="31"/>
    </row>
    <row r="29" spans="1:6" ht="187.5" customHeight="1" x14ac:dyDescent="0.25">
      <c r="A29" s="164" t="s">
        <v>120</v>
      </c>
      <c r="B29" s="167" t="s">
        <v>112</v>
      </c>
      <c r="C29" s="167"/>
      <c r="D29" s="168"/>
    </row>
    <row r="30" spans="1:6" ht="13" x14ac:dyDescent="0.25">
      <c r="A30" s="165"/>
      <c r="B30" s="159" t="s">
        <v>113</v>
      </c>
      <c r="C30" s="160"/>
      <c r="D30" s="30"/>
    </row>
    <row r="31" spans="1:6" ht="173.25" customHeight="1" thickBot="1" x14ac:dyDescent="0.3">
      <c r="A31" s="166"/>
      <c r="B31" s="161" t="s">
        <v>114</v>
      </c>
      <c r="C31" s="162"/>
      <c r="D31" s="163"/>
    </row>
    <row r="32" spans="1:6" ht="13" x14ac:dyDescent="0.25">
      <c r="A32" s="19" t="s">
        <v>121</v>
      </c>
      <c r="B32" s="112" t="s">
        <v>122</v>
      </c>
      <c r="C32" s="112"/>
      <c r="D32" s="31"/>
    </row>
    <row r="33" spans="1:4" ht="162" customHeight="1" x14ac:dyDescent="0.25">
      <c r="A33" s="164" t="s">
        <v>123</v>
      </c>
      <c r="B33" s="167" t="s">
        <v>112</v>
      </c>
      <c r="C33" s="167"/>
      <c r="D33" s="168"/>
    </row>
    <row r="34" spans="1:4" ht="13" x14ac:dyDescent="0.25">
      <c r="A34" s="165"/>
      <c r="B34" s="159" t="s">
        <v>113</v>
      </c>
      <c r="C34" s="160"/>
      <c r="D34" s="30"/>
    </row>
    <row r="35" spans="1:4" ht="197.25" customHeight="1" thickBot="1" x14ac:dyDescent="0.3">
      <c r="A35" s="166"/>
      <c r="B35" s="161" t="s">
        <v>114</v>
      </c>
      <c r="C35" s="162"/>
      <c r="D35" s="163"/>
    </row>
    <row r="36" spans="1:4" ht="13" x14ac:dyDescent="0.25">
      <c r="A36" s="19" t="s">
        <v>124</v>
      </c>
      <c r="B36" s="112" t="s">
        <v>125</v>
      </c>
      <c r="C36" s="112"/>
      <c r="D36" s="31"/>
    </row>
    <row r="37" spans="1:4" ht="192" customHeight="1" x14ac:dyDescent="0.25">
      <c r="A37" s="164" t="s">
        <v>126</v>
      </c>
      <c r="B37" s="167" t="s">
        <v>112</v>
      </c>
      <c r="C37" s="167"/>
      <c r="D37" s="168"/>
    </row>
    <row r="38" spans="1:4" ht="13" x14ac:dyDescent="0.25">
      <c r="A38" s="165"/>
      <c r="B38" s="159" t="s">
        <v>113</v>
      </c>
      <c r="C38" s="160"/>
      <c r="D38" s="30"/>
    </row>
    <row r="39" spans="1:4" ht="204" customHeight="1" thickBot="1" x14ac:dyDescent="0.3">
      <c r="A39" s="166"/>
      <c r="B39" s="161" t="s">
        <v>114</v>
      </c>
      <c r="C39" s="162"/>
      <c r="D39" s="163"/>
    </row>
    <row r="40" spans="1:4" ht="13" x14ac:dyDescent="0.25">
      <c r="A40" s="19" t="s">
        <v>127</v>
      </c>
      <c r="B40" s="112" t="s">
        <v>128</v>
      </c>
      <c r="C40" s="112"/>
      <c r="D40" s="31" t="s">
        <v>129</v>
      </c>
    </row>
    <row r="41" spans="1:4" ht="37.75" customHeight="1" x14ac:dyDescent="0.25">
      <c r="A41" s="164" t="s">
        <v>130</v>
      </c>
      <c r="B41" s="170" t="s">
        <v>112</v>
      </c>
      <c r="C41" s="170"/>
      <c r="D41" s="171"/>
    </row>
    <row r="42" spans="1:4" ht="13" x14ac:dyDescent="0.25">
      <c r="A42" s="165"/>
      <c r="B42" s="169" t="s">
        <v>113</v>
      </c>
      <c r="C42" s="169"/>
      <c r="D42" s="30"/>
    </row>
    <row r="43" spans="1:4" ht="198" customHeight="1" thickBot="1" x14ac:dyDescent="0.3">
      <c r="A43" s="166"/>
      <c r="B43" s="172" t="s">
        <v>114</v>
      </c>
      <c r="C43" s="172"/>
      <c r="D43" s="173"/>
    </row>
    <row r="44" spans="1:4" ht="13" x14ac:dyDescent="0.3">
      <c r="A44" s="174" t="s">
        <v>131</v>
      </c>
      <c r="B44" s="175"/>
      <c r="C44" s="175"/>
      <c r="D44" s="176"/>
    </row>
    <row r="45" spans="1:4" ht="15" customHeight="1" thickBot="1" x14ac:dyDescent="0.3">
      <c r="A45" s="178" t="s">
        <v>132</v>
      </c>
      <c r="B45" s="179"/>
      <c r="C45" s="179"/>
      <c r="D45" s="20" t="str">
        <f>IF(OR('User Data'!B4="B",'User Data'!B4="A4"),"Not Applicable",IF(OR(D20="",D24="",D28="",D32="",D36="",D40=""),"TBD",IF(AND(OR(D20="Yes",D20="N/A"),OR(D24="Yes",D24="N/A"),OR(D28="Yes",D28="N/A"),OR(D32="Yes",D32="N/A"),OR(D36="Yes",D36="N/A"),OR(D40="Yes",D40="N/A")),"In Place","Not in Place")))</f>
        <v>Not Applicable</v>
      </c>
    </row>
    <row r="46" spans="1:4" ht="13" x14ac:dyDescent="0.3">
      <c r="A46" s="174" t="s">
        <v>133</v>
      </c>
      <c r="B46" s="175"/>
      <c r="C46" s="175"/>
      <c r="D46" s="176"/>
    </row>
    <row r="47" spans="1:4" ht="142.5" customHeight="1" thickBot="1" x14ac:dyDescent="0.3">
      <c r="A47" s="177" t="s">
        <v>134</v>
      </c>
      <c r="B47" s="162"/>
      <c r="C47" s="162"/>
      <c r="D47" s="163"/>
    </row>
  </sheetData>
  <mergeCells count="62">
    <mergeCell ref="B43:D43"/>
    <mergeCell ref="A41:A43"/>
    <mergeCell ref="A46:D46"/>
    <mergeCell ref="A47:D47"/>
    <mergeCell ref="A45:C45"/>
    <mergeCell ref="A44:D44"/>
    <mergeCell ref="A37:A39"/>
    <mergeCell ref="A33:A35"/>
    <mergeCell ref="B42:C42"/>
    <mergeCell ref="B36:C36"/>
    <mergeCell ref="B35:D35"/>
    <mergeCell ref="B38:C38"/>
    <mergeCell ref="B39:D39"/>
    <mergeCell ref="B34:C34"/>
    <mergeCell ref="B41:D41"/>
    <mergeCell ref="B37:D37"/>
    <mergeCell ref="B40:C40"/>
    <mergeCell ref="B33:D33"/>
    <mergeCell ref="B30:C30"/>
    <mergeCell ref="A29:A31"/>
    <mergeCell ref="B24:C24"/>
    <mergeCell ref="B29:D29"/>
    <mergeCell ref="B25:D25"/>
    <mergeCell ref="B31:D31"/>
    <mergeCell ref="B28:C28"/>
    <mergeCell ref="A18:D18"/>
    <mergeCell ref="A21:A23"/>
    <mergeCell ref="B26:C26"/>
    <mergeCell ref="B27:D27"/>
    <mergeCell ref="A25:A27"/>
    <mergeCell ref="B21:D21"/>
    <mergeCell ref="B22:C22"/>
    <mergeCell ref="B23:D23"/>
    <mergeCell ref="B1:D1"/>
    <mergeCell ref="A3:D3"/>
    <mergeCell ref="C13:D13"/>
    <mergeCell ref="C12:D12"/>
    <mergeCell ref="A13:B13"/>
    <mergeCell ref="A12:B12"/>
    <mergeCell ref="A10:B10"/>
    <mergeCell ref="A9:B9"/>
    <mergeCell ref="A8:B8"/>
    <mergeCell ref="A7:B7"/>
    <mergeCell ref="A6:B6"/>
    <mergeCell ref="A5:B5"/>
    <mergeCell ref="A11:B11"/>
    <mergeCell ref="B32:C32"/>
    <mergeCell ref="A2:D2"/>
    <mergeCell ref="C4:D4"/>
    <mergeCell ref="A15:D15"/>
    <mergeCell ref="A14:D14"/>
    <mergeCell ref="C9:D9"/>
    <mergeCell ref="C8:D8"/>
    <mergeCell ref="C7:D7"/>
    <mergeCell ref="A4:B4"/>
    <mergeCell ref="C6:D6"/>
    <mergeCell ref="C5:D5"/>
    <mergeCell ref="C10:D10"/>
    <mergeCell ref="B19:D19"/>
    <mergeCell ref="A17:D17"/>
    <mergeCell ref="B20:C20"/>
    <mergeCell ref="A16:D16"/>
  </mergeCells>
  <conditionalFormatting sqref="A3:D10 A11 C11:D11 A12:D15 A19:D43 A45:D45 A47:D47">
    <cfRule type="expression" dxfId="176" priority="1">
      <formula>$D$45="Not Applicable"</formula>
    </cfRule>
  </conditionalFormatting>
  <conditionalFormatting sqref="B23">
    <cfRule type="expression" dxfId="175" priority="17">
      <formula>$D$22="No"</formula>
    </cfRule>
  </conditionalFormatting>
  <conditionalFormatting sqref="B27">
    <cfRule type="expression" dxfId="174" priority="14">
      <formula>$D$26="No"</formula>
    </cfRule>
  </conditionalFormatting>
  <conditionalFormatting sqref="B31">
    <cfRule type="expression" dxfId="173" priority="13">
      <formula>$D$30="No"</formula>
    </cfRule>
  </conditionalFormatting>
  <conditionalFormatting sqref="B35">
    <cfRule type="expression" dxfId="172" priority="11">
      <formula>$D$34="No"</formula>
    </cfRule>
  </conditionalFormatting>
  <conditionalFormatting sqref="B39">
    <cfRule type="expression" dxfId="171" priority="10">
      <formula>$D$38="No"</formula>
    </cfRule>
  </conditionalFormatting>
  <conditionalFormatting sqref="B43">
    <cfRule type="expression" dxfId="170" priority="8">
      <formula>$D$42="No"</formula>
    </cfRule>
  </conditionalFormatting>
  <conditionalFormatting sqref="D20 D24 D28 D32 D36 D40">
    <cfRule type="cellIs" dxfId="169" priority="15" operator="equal">
      <formula>"N/A"</formula>
    </cfRule>
    <cfRule type="cellIs" dxfId="168" priority="20" operator="equal">
      <formula>"No"</formula>
    </cfRule>
    <cfRule type="cellIs" dxfId="167" priority="21" operator="equal">
      <formula>"Yes"</formula>
    </cfRule>
  </conditionalFormatting>
  <conditionalFormatting sqref="D45">
    <cfRule type="cellIs" dxfId="166" priority="18" operator="equal">
      <formula>"Not in Place"</formula>
    </cfRule>
    <cfRule type="cellIs" dxfId="165" priority="19" operator="equal">
      <formula>"In Place"</formula>
    </cfRule>
  </conditionalFormatting>
  <dataValidations count="2">
    <dataValidation type="list" allowBlank="1" showInputMessage="1" showErrorMessage="1" sqref="D26 D30 D34 D38 D42 D22" xr:uid="{00000000-0002-0000-0400-000000000000}">
      <formula1>"Yes,No"</formula1>
    </dataValidation>
    <dataValidation type="list" allowBlank="1" showInputMessage="1" showErrorMessage="1" sqref="D20 D24 D28 D32 D36 D40" xr:uid="{00000000-0002-0000-0400-000001000000}">
      <formula1>"Yes,No,N/A"</formula1>
    </dataValidation>
  </dataValidations>
  <pageMargins left="0.7" right="0.7" top="0.75" bottom="0.75" header="0.3" footer="0.3"/>
  <pageSetup scale="48" fitToHeight="10" orientation="portrait" r:id="rId1"/>
  <headerFooter>
    <oddHeader>&amp;L&amp;8&amp;F - &amp;A Tab&amp;R&amp;8Template Version: 2019</oddHeader>
    <oddFooter>&amp;L&amp;8The information herein is confidential and will not disclosed to third parties without written permission&amp;R&amp;8Template Copyright © S.W.I.F.T. SCRL, 2019</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D27"/>
  <sheetViews>
    <sheetView topLeftCell="A19" zoomScaleNormal="100" workbookViewId="0">
      <selection activeCell="B21" sqref="B21:D21"/>
    </sheetView>
  </sheetViews>
  <sheetFormatPr defaultRowHeight="14.5" x14ac:dyDescent="0.35"/>
  <cols>
    <col min="1" max="1" width="22.1796875" customWidth="1"/>
    <col min="2" max="3" width="75.7265625" customWidth="1"/>
    <col min="4" max="4" width="16.7265625" customWidth="1"/>
  </cols>
  <sheetData>
    <row r="1" spans="1:4" ht="36" customHeight="1" thickBot="1" x14ac:dyDescent="0.4">
      <c r="A1" s="63" t="s">
        <v>135</v>
      </c>
      <c r="B1" s="139" t="s">
        <v>136</v>
      </c>
      <c r="C1" s="139"/>
      <c r="D1" s="140"/>
    </row>
    <row r="2" spans="1:4" ht="16" thickBot="1" x14ac:dyDescent="0.4">
      <c r="A2" s="113" t="s">
        <v>86</v>
      </c>
      <c r="B2" s="114"/>
      <c r="C2" s="114"/>
      <c r="D2" s="115"/>
    </row>
    <row r="3" spans="1:4" ht="37.75" customHeight="1" x14ac:dyDescent="0.35">
      <c r="A3" s="188" t="s">
        <v>137</v>
      </c>
      <c r="B3" s="189"/>
      <c r="C3" s="189"/>
      <c r="D3" s="190"/>
    </row>
    <row r="4" spans="1:4" ht="15.5" x14ac:dyDescent="0.35">
      <c r="A4" s="126" t="s">
        <v>88</v>
      </c>
      <c r="B4" s="116"/>
      <c r="C4" s="116" t="s">
        <v>89</v>
      </c>
      <c r="D4" s="117"/>
    </row>
    <row r="5" spans="1:4" x14ac:dyDescent="0.35">
      <c r="A5" s="184" t="s">
        <v>138</v>
      </c>
      <c r="B5" s="181"/>
      <c r="C5" s="187" t="s">
        <v>139</v>
      </c>
      <c r="D5" s="128"/>
    </row>
    <row r="6" spans="1:4" ht="27" customHeight="1" x14ac:dyDescent="0.35">
      <c r="A6" s="184" t="s">
        <v>140</v>
      </c>
      <c r="B6" s="181"/>
      <c r="C6" s="181" t="s">
        <v>141</v>
      </c>
      <c r="D6" s="125"/>
    </row>
    <row r="7" spans="1:4" x14ac:dyDescent="0.35">
      <c r="A7" s="185" t="s">
        <v>372</v>
      </c>
      <c r="B7" s="186"/>
      <c r="C7" s="88"/>
      <c r="D7" s="87"/>
    </row>
    <row r="8" spans="1:4" x14ac:dyDescent="0.35">
      <c r="A8" s="184" t="s">
        <v>142</v>
      </c>
      <c r="B8" s="181"/>
      <c r="C8" s="181" t="s">
        <v>143</v>
      </c>
      <c r="D8" s="125"/>
    </row>
    <row r="9" spans="1:4" x14ac:dyDescent="0.35">
      <c r="A9" s="184" t="s">
        <v>144</v>
      </c>
      <c r="B9" s="181"/>
      <c r="C9" s="181" t="s">
        <v>145</v>
      </c>
      <c r="D9" s="125"/>
    </row>
    <row r="10" spans="1:4" ht="24" customHeight="1" x14ac:dyDescent="0.35">
      <c r="A10" s="151" t="s">
        <v>146</v>
      </c>
      <c r="B10" s="152"/>
      <c r="C10" s="181" t="s">
        <v>147</v>
      </c>
      <c r="D10" s="125"/>
    </row>
    <row r="11" spans="1:4" x14ac:dyDescent="0.35">
      <c r="A11" s="76" t="s">
        <v>148</v>
      </c>
      <c r="B11" s="53"/>
      <c r="C11" s="44"/>
      <c r="D11" s="34"/>
    </row>
    <row r="12" spans="1:4" x14ac:dyDescent="0.35">
      <c r="A12" s="151" t="s">
        <v>371</v>
      </c>
      <c r="B12" s="152"/>
      <c r="C12" s="44"/>
      <c r="D12" s="34"/>
    </row>
    <row r="13" spans="1:4" ht="27" customHeight="1" x14ac:dyDescent="0.35">
      <c r="A13" s="151" t="s">
        <v>149</v>
      </c>
      <c r="B13" s="152"/>
      <c r="D13" s="79"/>
    </row>
    <row r="14" spans="1:4" ht="15" thickBot="1" x14ac:dyDescent="0.4">
      <c r="A14" s="182" t="s">
        <v>150</v>
      </c>
      <c r="B14" s="183"/>
      <c r="C14" s="80"/>
      <c r="D14" s="81"/>
    </row>
    <row r="15" spans="1:4" ht="52.5" customHeight="1" x14ac:dyDescent="0.35">
      <c r="A15" s="141" t="s">
        <v>151</v>
      </c>
      <c r="B15" s="142"/>
      <c r="C15" s="142"/>
      <c r="D15" s="143"/>
    </row>
    <row r="16" spans="1:4" ht="52" customHeight="1" thickBot="1" x14ac:dyDescent="0.4">
      <c r="A16" s="118" t="s">
        <v>152</v>
      </c>
      <c r="B16" s="119"/>
      <c r="C16" s="119"/>
      <c r="D16" s="120"/>
    </row>
    <row r="17" spans="1:4" ht="16" thickBot="1" x14ac:dyDescent="0.4">
      <c r="A17" s="136" t="s">
        <v>105</v>
      </c>
      <c r="B17" s="137"/>
      <c r="C17" s="137"/>
      <c r="D17" s="138"/>
    </row>
    <row r="18" spans="1:4" x14ac:dyDescent="0.35">
      <c r="A18" s="132" t="s">
        <v>106</v>
      </c>
      <c r="B18" s="133"/>
      <c r="C18" s="133"/>
      <c r="D18" s="134"/>
    </row>
    <row r="19" spans="1:4" ht="137.25" customHeight="1" x14ac:dyDescent="0.35">
      <c r="A19" s="153" t="s">
        <v>107</v>
      </c>
      <c r="B19" s="154"/>
      <c r="C19" s="154"/>
      <c r="D19" s="155"/>
    </row>
    <row r="20" spans="1:4" x14ac:dyDescent="0.35">
      <c r="A20" s="2" t="s">
        <v>108</v>
      </c>
      <c r="B20" s="135" t="s">
        <v>153</v>
      </c>
      <c r="C20" s="135"/>
      <c r="D20" s="29" t="s">
        <v>442</v>
      </c>
    </row>
    <row r="21" spans="1:4" ht="143.25" customHeight="1" x14ac:dyDescent="0.35">
      <c r="A21" s="156"/>
      <c r="B21" s="180" t="s">
        <v>447</v>
      </c>
      <c r="C21" s="167"/>
      <c r="D21" s="168"/>
    </row>
    <row r="22" spans="1:4" x14ac:dyDescent="0.35">
      <c r="A22" s="157"/>
      <c r="B22" s="159" t="s">
        <v>113</v>
      </c>
      <c r="C22" s="160"/>
      <c r="D22" s="30" t="s">
        <v>443</v>
      </c>
    </row>
    <row r="23" spans="1:4" ht="162" customHeight="1" thickBot="1" x14ac:dyDescent="0.4">
      <c r="A23" s="158"/>
      <c r="B23" s="161" t="s">
        <v>114</v>
      </c>
      <c r="C23" s="162"/>
      <c r="D23" s="163"/>
    </row>
    <row r="24" spans="1:4" x14ac:dyDescent="0.35">
      <c r="A24" s="174" t="s">
        <v>131</v>
      </c>
      <c r="B24" s="175"/>
      <c r="C24" s="175"/>
      <c r="D24" s="176"/>
    </row>
    <row r="25" spans="1:4" ht="16" thickBot="1" x14ac:dyDescent="0.4">
      <c r="A25" s="178" t="s">
        <v>132</v>
      </c>
      <c r="B25" s="179"/>
      <c r="C25" s="179"/>
      <c r="D25" s="20" t="str">
        <f>IF('User Data'!B4="B","Not Applicable",IF(D20="","TBD",IF(OR(D20="Yes",D20="N/A"),"In Place","Not in Place")))</f>
        <v>In Place</v>
      </c>
    </row>
    <row r="26" spans="1:4" x14ac:dyDescent="0.35">
      <c r="A26" s="174" t="s">
        <v>133</v>
      </c>
      <c r="B26" s="175"/>
      <c r="C26" s="175"/>
      <c r="D26" s="176"/>
    </row>
    <row r="27" spans="1:4" ht="141.75" customHeight="1" thickBot="1" x14ac:dyDescent="0.4">
      <c r="A27" s="177" t="s">
        <v>134</v>
      </c>
      <c r="B27" s="162"/>
      <c r="C27" s="162"/>
      <c r="D27" s="163"/>
    </row>
  </sheetData>
  <mergeCells count="33">
    <mergeCell ref="C5:D5"/>
    <mergeCell ref="B1:D1"/>
    <mergeCell ref="A2:D2"/>
    <mergeCell ref="A3:D3"/>
    <mergeCell ref="A4:B4"/>
    <mergeCell ref="C4:D4"/>
    <mergeCell ref="A5:B5"/>
    <mergeCell ref="A17:D17"/>
    <mergeCell ref="A18:D18"/>
    <mergeCell ref="A10:B10"/>
    <mergeCell ref="C6:D6"/>
    <mergeCell ref="A13:B13"/>
    <mergeCell ref="C8:D8"/>
    <mergeCell ref="A14:B14"/>
    <mergeCell ref="C9:D9"/>
    <mergeCell ref="A6:B6"/>
    <mergeCell ref="A8:B8"/>
    <mergeCell ref="A9:B9"/>
    <mergeCell ref="A15:D15"/>
    <mergeCell ref="A16:D16"/>
    <mergeCell ref="C10:D10"/>
    <mergeCell ref="A7:B7"/>
    <mergeCell ref="A12:B12"/>
    <mergeCell ref="A19:D19"/>
    <mergeCell ref="A26:D26"/>
    <mergeCell ref="A27:D27"/>
    <mergeCell ref="A24:D24"/>
    <mergeCell ref="A25:C25"/>
    <mergeCell ref="B20:C20"/>
    <mergeCell ref="A21:A23"/>
    <mergeCell ref="B21:D21"/>
    <mergeCell ref="B22:C22"/>
    <mergeCell ref="B23:D23"/>
  </mergeCells>
  <conditionalFormatting sqref="A3:D4 A5:A9 A10:B11 A12 A13:B14 A15:D16 A20:D23 A25:D25 A27:D27">
    <cfRule type="expression" dxfId="164" priority="2">
      <formula>$D$25="Not Applicable"</formula>
    </cfRule>
  </conditionalFormatting>
  <conditionalFormatting sqref="B23">
    <cfRule type="expression" dxfId="163" priority="15">
      <formula>D22="No"</formula>
    </cfRule>
  </conditionalFormatting>
  <conditionalFormatting sqref="C5:D12">
    <cfRule type="expression" dxfId="162" priority="1">
      <formula>$D$25="Not Applicable"</formula>
    </cfRule>
  </conditionalFormatting>
  <conditionalFormatting sqref="D20">
    <cfRule type="cellIs" dxfId="161" priority="14" operator="equal">
      <formula>"N/A"</formula>
    </cfRule>
    <cfRule type="cellIs" dxfId="160" priority="18" operator="equal">
      <formula>"No"</formula>
    </cfRule>
    <cfRule type="cellIs" dxfId="159" priority="19" operator="equal">
      <formula>"Yes"</formula>
    </cfRule>
  </conditionalFormatting>
  <conditionalFormatting sqref="D25">
    <cfRule type="cellIs" dxfId="158" priority="16" operator="equal">
      <formula>"Not in Place"</formula>
    </cfRule>
    <cfRule type="cellIs" dxfId="157" priority="17" operator="equal">
      <formula>"In Place"</formula>
    </cfRule>
  </conditionalFormatting>
  <dataValidations count="2">
    <dataValidation type="list" allowBlank="1" showInputMessage="1" showErrorMessage="1" sqref="D20" xr:uid="{00000000-0002-0000-0500-000000000000}">
      <formula1>"Yes,No,N/A"</formula1>
    </dataValidation>
    <dataValidation type="list" allowBlank="1" showInputMessage="1" showErrorMessage="1" sqref="D22" xr:uid="{00000000-0002-0000-0500-000001000000}">
      <formula1>"Yes,No"</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D30"/>
  <sheetViews>
    <sheetView topLeftCell="A23" workbookViewId="0">
      <selection activeCell="B24" sqref="B24:D24"/>
    </sheetView>
  </sheetViews>
  <sheetFormatPr defaultRowHeight="14.5" x14ac:dyDescent="0.35"/>
  <cols>
    <col min="1" max="1" width="23.81640625" customWidth="1"/>
    <col min="2" max="2" width="86.1796875" customWidth="1"/>
    <col min="3" max="3" width="69.453125" customWidth="1"/>
    <col min="4" max="4" width="15.81640625" customWidth="1"/>
  </cols>
  <sheetData>
    <row r="1" spans="1:4" ht="20.5" thickBot="1" x14ac:dyDescent="0.4">
      <c r="A1" s="63" t="s">
        <v>408</v>
      </c>
      <c r="B1" s="139" t="s">
        <v>154</v>
      </c>
      <c r="C1" s="139"/>
      <c r="D1" s="140"/>
    </row>
    <row r="2" spans="1:4" ht="16" thickBot="1" x14ac:dyDescent="0.4">
      <c r="A2" s="113" t="s">
        <v>86</v>
      </c>
      <c r="B2" s="114"/>
      <c r="C2" s="114"/>
      <c r="D2" s="115"/>
    </row>
    <row r="3" spans="1:4" ht="41.25" customHeight="1" x14ac:dyDescent="0.35">
      <c r="A3" s="188" t="s">
        <v>155</v>
      </c>
      <c r="B3" s="189"/>
      <c r="C3" s="189"/>
      <c r="D3" s="190"/>
    </row>
    <row r="4" spans="1:4" ht="15.5" x14ac:dyDescent="0.35">
      <c r="A4" s="208" t="s">
        <v>88</v>
      </c>
      <c r="B4" s="209"/>
      <c r="C4" s="209" t="s">
        <v>89</v>
      </c>
      <c r="D4" s="210"/>
    </row>
    <row r="5" spans="1:4" ht="36.75" customHeight="1" x14ac:dyDescent="0.35">
      <c r="A5" s="204" t="s">
        <v>156</v>
      </c>
      <c r="B5" s="205"/>
      <c r="C5" s="206" t="s">
        <v>157</v>
      </c>
      <c r="D5" s="207"/>
    </row>
    <row r="6" spans="1:4" x14ac:dyDescent="0.35">
      <c r="A6" s="151" t="s">
        <v>90</v>
      </c>
      <c r="B6" s="194"/>
      <c r="C6" s="195" t="s">
        <v>158</v>
      </c>
      <c r="D6" s="196"/>
    </row>
    <row r="7" spans="1:4" x14ac:dyDescent="0.35">
      <c r="A7" s="151" t="s">
        <v>92</v>
      </c>
      <c r="B7" s="194"/>
      <c r="C7" s="195"/>
      <c r="D7" s="196"/>
    </row>
    <row r="8" spans="1:4" x14ac:dyDescent="0.35">
      <c r="A8" s="151" t="s">
        <v>94</v>
      </c>
      <c r="B8" s="194"/>
      <c r="C8" s="195"/>
      <c r="D8" s="196"/>
    </row>
    <row r="9" spans="1:4" x14ac:dyDescent="0.35">
      <c r="A9" s="151" t="s">
        <v>96</v>
      </c>
      <c r="B9" s="194"/>
      <c r="C9" s="195"/>
      <c r="D9" s="196"/>
    </row>
    <row r="10" spans="1:4" x14ac:dyDescent="0.35">
      <c r="A10" s="151" t="s">
        <v>159</v>
      </c>
      <c r="B10" s="194"/>
      <c r="C10" s="195"/>
      <c r="D10" s="196"/>
    </row>
    <row r="11" spans="1:4" x14ac:dyDescent="0.35">
      <c r="A11" s="151" t="s">
        <v>375</v>
      </c>
      <c r="B11" s="152"/>
      <c r="C11" s="33"/>
      <c r="D11" s="34"/>
    </row>
    <row r="12" spans="1:4" x14ac:dyDescent="0.35">
      <c r="A12" s="151" t="s">
        <v>160</v>
      </c>
      <c r="B12" s="194"/>
      <c r="C12" s="195"/>
      <c r="D12" s="196"/>
    </row>
    <row r="13" spans="1:4" x14ac:dyDescent="0.35">
      <c r="A13" s="151" t="s">
        <v>373</v>
      </c>
      <c r="B13" s="194"/>
      <c r="C13" s="195"/>
      <c r="D13" s="196"/>
    </row>
    <row r="14" spans="1:4" x14ac:dyDescent="0.35">
      <c r="A14" s="151" t="s">
        <v>161</v>
      </c>
      <c r="B14" s="194"/>
      <c r="C14" s="195"/>
      <c r="D14" s="196"/>
    </row>
    <row r="15" spans="1:4" ht="36" customHeight="1" x14ac:dyDescent="0.35">
      <c r="A15" s="151" t="s">
        <v>149</v>
      </c>
      <c r="B15" s="152"/>
      <c r="C15" s="200"/>
      <c r="D15" s="201"/>
    </row>
    <row r="16" spans="1:4" ht="22.5" customHeight="1" x14ac:dyDescent="0.35">
      <c r="A16" s="151" t="s">
        <v>162</v>
      </c>
      <c r="B16" s="152"/>
      <c r="C16" s="200"/>
      <c r="D16" s="201"/>
    </row>
    <row r="17" spans="1:4" ht="66" customHeight="1" thickBot="1" x14ac:dyDescent="0.4">
      <c r="A17" s="202" t="s">
        <v>374</v>
      </c>
      <c r="B17" s="203"/>
      <c r="C17" s="82"/>
      <c r="D17" s="83"/>
    </row>
    <row r="18" spans="1:4" ht="41.25" customHeight="1" thickBot="1" x14ac:dyDescent="0.4">
      <c r="A18" s="197" t="s">
        <v>163</v>
      </c>
      <c r="B18" s="198"/>
      <c r="C18" s="198"/>
      <c r="D18" s="199"/>
    </row>
    <row r="19" spans="1:4" ht="75" customHeight="1" thickBot="1" x14ac:dyDescent="0.4">
      <c r="A19" s="191" t="s">
        <v>376</v>
      </c>
      <c r="B19" s="192"/>
      <c r="C19" s="192"/>
      <c r="D19" s="193"/>
    </row>
    <row r="20" spans="1:4" ht="16" thickBot="1" x14ac:dyDescent="0.4">
      <c r="A20" s="136" t="s">
        <v>105</v>
      </c>
      <c r="B20" s="137"/>
      <c r="C20" s="137"/>
      <c r="D20" s="138"/>
    </row>
    <row r="21" spans="1:4" x14ac:dyDescent="0.35">
      <c r="A21" s="132" t="s">
        <v>106</v>
      </c>
      <c r="B21" s="133"/>
      <c r="C21" s="133"/>
      <c r="D21" s="134"/>
    </row>
    <row r="22" spans="1:4" ht="137.25" customHeight="1" x14ac:dyDescent="0.35">
      <c r="A22" s="153" t="s">
        <v>107</v>
      </c>
      <c r="B22" s="154"/>
      <c r="C22" s="154"/>
      <c r="D22" s="155"/>
    </row>
    <row r="23" spans="1:4" ht="42" customHeight="1" x14ac:dyDescent="0.35">
      <c r="A23" s="2" t="s">
        <v>108</v>
      </c>
      <c r="B23" s="135" t="s">
        <v>164</v>
      </c>
      <c r="C23" s="135"/>
      <c r="D23" s="29" t="s">
        <v>442</v>
      </c>
    </row>
    <row r="24" spans="1:4" ht="117" customHeight="1" x14ac:dyDescent="0.35">
      <c r="A24" s="156"/>
      <c r="B24" s="180" t="s">
        <v>458</v>
      </c>
      <c r="C24" s="167"/>
      <c r="D24" s="168"/>
    </row>
    <row r="25" spans="1:4" x14ac:dyDescent="0.35">
      <c r="A25" s="157"/>
      <c r="B25" s="159" t="s">
        <v>113</v>
      </c>
      <c r="C25" s="160"/>
      <c r="D25" s="30" t="s">
        <v>443</v>
      </c>
    </row>
    <row r="26" spans="1:4" ht="119.25" customHeight="1" thickBot="1" x14ac:dyDescent="0.4">
      <c r="A26" s="158"/>
      <c r="B26" s="161" t="s">
        <v>114</v>
      </c>
      <c r="C26" s="162"/>
      <c r="D26" s="163"/>
    </row>
    <row r="27" spans="1:4" x14ac:dyDescent="0.35">
      <c r="A27" s="174" t="s">
        <v>131</v>
      </c>
      <c r="B27" s="175"/>
      <c r="C27" s="175"/>
      <c r="D27" s="176"/>
    </row>
    <row r="28" spans="1:4" ht="16" thickBot="1" x14ac:dyDescent="0.4">
      <c r="A28" s="178" t="s">
        <v>132</v>
      </c>
      <c r="B28" s="179"/>
      <c r="C28" s="179"/>
      <c r="D28" s="20" t="str">
        <f>IF('User Data'!B4="B","Not Applicable",IF(D23="","TBD",IF(OR(D23="Yes",D23="N/A"),"In Place","Not in Place")))</f>
        <v>In Place</v>
      </c>
    </row>
    <row r="29" spans="1:4" x14ac:dyDescent="0.35">
      <c r="A29" s="174" t="s">
        <v>133</v>
      </c>
      <c r="B29" s="175"/>
      <c r="C29" s="175"/>
      <c r="D29" s="176"/>
    </row>
    <row r="30" spans="1:4" ht="141" customHeight="1" thickBot="1" x14ac:dyDescent="0.4">
      <c r="A30" s="177" t="s">
        <v>134</v>
      </c>
      <c r="B30" s="162"/>
      <c r="C30" s="162"/>
      <c r="D30" s="163"/>
    </row>
  </sheetData>
  <mergeCells count="43">
    <mergeCell ref="A5:B5"/>
    <mergeCell ref="C5:D5"/>
    <mergeCell ref="B1:D1"/>
    <mergeCell ref="A2:D2"/>
    <mergeCell ref="A3:D3"/>
    <mergeCell ref="A4:B4"/>
    <mergeCell ref="C4:D4"/>
    <mergeCell ref="A6:B6"/>
    <mergeCell ref="C6:D6"/>
    <mergeCell ref="A7:B7"/>
    <mergeCell ref="C7:D7"/>
    <mergeCell ref="A8:B8"/>
    <mergeCell ref="C8:D8"/>
    <mergeCell ref="A9:B9"/>
    <mergeCell ref="C9:D9"/>
    <mergeCell ref="A10:B10"/>
    <mergeCell ref="C10:D10"/>
    <mergeCell ref="A12:B12"/>
    <mergeCell ref="C12:D12"/>
    <mergeCell ref="A11:B11"/>
    <mergeCell ref="A19:D19"/>
    <mergeCell ref="A22:D22"/>
    <mergeCell ref="A15:B15"/>
    <mergeCell ref="A13:B13"/>
    <mergeCell ref="C13:D13"/>
    <mergeCell ref="A14:B14"/>
    <mergeCell ref="C14:D14"/>
    <mergeCell ref="A18:D18"/>
    <mergeCell ref="A16:B16"/>
    <mergeCell ref="C15:D15"/>
    <mergeCell ref="C16:D16"/>
    <mergeCell ref="A17:B17"/>
    <mergeCell ref="A27:D27"/>
    <mergeCell ref="A28:C28"/>
    <mergeCell ref="A29:D29"/>
    <mergeCell ref="A30:D30"/>
    <mergeCell ref="A20:D20"/>
    <mergeCell ref="A21:D21"/>
    <mergeCell ref="B23:C23"/>
    <mergeCell ref="A24:A26"/>
    <mergeCell ref="B24:D24"/>
    <mergeCell ref="B25:C25"/>
    <mergeCell ref="B26:D26"/>
  </mergeCells>
  <conditionalFormatting sqref="A15:B15 A16:A17">
    <cfRule type="expression" dxfId="156" priority="1">
      <formula>$D$24="Not Applicable"</formula>
    </cfRule>
  </conditionalFormatting>
  <conditionalFormatting sqref="A3:D10 A11 C11:D11 A12:D14 C15:C17 A18:D19 A23:D26 A28:D28 A30:D30">
    <cfRule type="expression" dxfId="155" priority="3">
      <formula>$D$28="Not Applicable"</formula>
    </cfRule>
  </conditionalFormatting>
  <conditionalFormatting sqref="B26">
    <cfRule type="expression" dxfId="154" priority="5">
      <formula>D25="No"</formula>
    </cfRule>
  </conditionalFormatting>
  <conditionalFormatting sqref="D23">
    <cfRule type="cellIs" dxfId="153" priority="4" operator="equal">
      <formula>"N/A"</formula>
    </cfRule>
    <cfRule type="cellIs" dxfId="152" priority="8" operator="equal">
      <formula>"No"</formula>
    </cfRule>
    <cfRule type="cellIs" dxfId="151" priority="9" operator="equal">
      <formula>"Yes"</formula>
    </cfRule>
  </conditionalFormatting>
  <conditionalFormatting sqref="D28">
    <cfRule type="cellIs" dxfId="150" priority="6" operator="equal">
      <formula>"Not in Place"</formula>
    </cfRule>
    <cfRule type="cellIs" dxfId="149" priority="7" operator="equal">
      <formula>"In Place"</formula>
    </cfRule>
  </conditionalFormatting>
  <dataValidations count="2">
    <dataValidation type="list" allowBlank="1" showInputMessage="1" showErrorMessage="1" sqref="D23" xr:uid="{00000000-0002-0000-0600-000000000000}">
      <formula1>"Yes,No,N/A"</formula1>
    </dataValidation>
    <dataValidation type="list" allowBlank="1" showInputMessage="1" showErrorMessage="1" sqref="D25" xr:uid="{00000000-0002-0000-0600-000001000000}">
      <formula1>"Yes,No"</formula1>
    </dataValidation>
  </dataValidation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D28"/>
  <sheetViews>
    <sheetView topLeftCell="A19" zoomScaleNormal="100" workbookViewId="0">
      <selection activeCell="B22" sqref="B22:D22"/>
    </sheetView>
  </sheetViews>
  <sheetFormatPr defaultRowHeight="14.5" x14ac:dyDescent="0.35"/>
  <cols>
    <col min="1" max="1" width="16.81640625" customWidth="1"/>
    <col min="2" max="3" width="75.81640625" customWidth="1"/>
    <col min="4" max="4" width="16.81640625" customWidth="1"/>
  </cols>
  <sheetData>
    <row r="1" spans="1:4" ht="20.5" thickBot="1" x14ac:dyDescent="0.4">
      <c r="A1" s="63" t="s">
        <v>419</v>
      </c>
      <c r="B1" s="139" t="s">
        <v>165</v>
      </c>
      <c r="C1" s="139"/>
      <c r="D1" s="140"/>
    </row>
    <row r="2" spans="1:4" ht="16" thickBot="1" x14ac:dyDescent="0.4">
      <c r="A2" s="113" t="s">
        <v>86</v>
      </c>
      <c r="B2" s="114"/>
      <c r="C2" s="114"/>
      <c r="D2" s="115"/>
    </row>
    <row r="3" spans="1:4" ht="37.75" customHeight="1" x14ac:dyDescent="0.35">
      <c r="A3" s="216" t="s">
        <v>166</v>
      </c>
      <c r="B3" s="217"/>
      <c r="C3" s="217"/>
      <c r="D3" s="218"/>
    </row>
    <row r="4" spans="1:4" ht="15.5" x14ac:dyDescent="0.35">
      <c r="A4" s="219" t="s">
        <v>88</v>
      </c>
      <c r="B4" s="220"/>
      <c r="C4" s="220" t="s">
        <v>89</v>
      </c>
      <c r="D4" s="221"/>
    </row>
    <row r="5" spans="1:4" ht="21.75" customHeight="1" x14ac:dyDescent="0.35">
      <c r="A5" s="211" t="s">
        <v>102</v>
      </c>
      <c r="B5" s="212"/>
      <c r="C5" s="212" t="s">
        <v>97</v>
      </c>
      <c r="D5" s="213"/>
    </row>
    <row r="6" spans="1:4" ht="13.5" customHeight="1" x14ac:dyDescent="0.35">
      <c r="A6" s="151" t="s">
        <v>160</v>
      </c>
      <c r="B6" s="152"/>
      <c r="C6" s="214"/>
      <c r="D6" s="215"/>
    </row>
    <row r="7" spans="1:4" ht="13.5" customHeight="1" x14ac:dyDescent="0.35">
      <c r="A7" s="151" t="s">
        <v>90</v>
      </c>
      <c r="B7" s="152"/>
      <c r="C7" s="214"/>
      <c r="D7" s="215"/>
    </row>
    <row r="8" spans="1:4" ht="13.5" customHeight="1" x14ac:dyDescent="0.35">
      <c r="A8" s="151" t="s">
        <v>92</v>
      </c>
      <c r="B8" s="152"/>
      <c r="C8" s="214"/>
      <c r="D8" s="215"/>
    </row>
    <row r="9" spans="1:4" ht="13.5" customHeight="1" x14ac:dyDescent="0.35">
      <c r="A9" s="151" t="s">
        <v>94</v>
      </c>
      <c r="B9" s="152"/>
      <c r="C9" s="214"/>
      <c r="D9" s="215"/>
    </row>
    <row r="10" spans="1:4" ht="13.5" customHeight="1" x14ac:dyDescent="0.35">
      <c r="A10" s="148" t="s">
        <v>96</v>
      </c>
      <c r="B10" s="149"/>
      <c r="C10" s="149"/>
      <c r="D10" s="225"/>
    </row>
    <row r="11" spans="1:4" ht="13.5" customHeight="1" x14ac:dyDescent="0.35">
      <c r="A11" s="148" t="s">
        <v>167</v>
      </c>
      <c r="B11" s="149"/>
      <c r="C11" s="149"/>
      <c r="D11" s="225"/>
    </row>
    <row r="12" spans="1:4" ht="13.5" customHeight="1" x14ac:dyDescent="0.35">
      <c r="A12" s="194" t="s">
        <v>407</v>
      </c>
      <c r="B12" s="152"/>
      <c r="C12" s="38"/>
      <c r="D12" s="39"/>
    </row>
    <row r="13" spans="1:4" ht="29.25" customHeight="1" x14ac:dyDescent="0.35">
      <c r="A13" s="214" t="s">
        <v>148</v>
      </c>
      <c r="B13" s="152"/>
      <c r="C13" s="214"/>
      <c r="D13" s="215"/>
    </row>
    <row r="14" spans="1:4" ht="34.5" customHeight="1" x14ac:dyDescent="0.35">
      <c r="A14" s="214" t="s">
        <v>149</v>
      </c>
      <c r="B14" s="152"/>
      <c r="C14" s="38"/>
      <c r="D14" s="39"/>
    </row>
    <row r="15" spans="1:4" ht="26.5" customHeight="1" x14ac:dyDescent="0.35">
      <c r="A15" s="151" t="s">
        <v>168</v>
      </c>
      <c r="B15" s="152"/>
      <c r="C15" s="214"/>
      <c r="D15" s="215"/>
    </row>
    <row r="16" spans="1:4" ht="37.75" customHeight="1" x14ac:dyDescent="0.35">
      <c r="A16" s="226" t="s">
        <v>169</v>
      </c>
      <c r="B16" s="227"/>
      <c r="C16" s="227"/>
      <c r="D16" s="228"/>
    </row>
    <row r="17" spans="1:4" ht="115.5" customHeight="1" thickBot="1" x14ac:dyDescent="0.4">
      <c r="A17" s="222" t="s">
        <v>434</v>
      </c>
      <c r="B17" s="223"/>
      <c r="C17" s="223"/>
      <c r="D17" s="224"/>
    </row>
    <row r="18" spans="1:4" ht="16.5" customHeight="1" thickBot="1" x14ac:dyDescent="0.4">
      <c r="A18" s="113" t="s">
        <v>105</v>
      </c>
      <c r="B18" s="114"/>
      <c r="C18" s="114"/>
      <c r="D18" s="115"/>
    </row>
    <row r="19" spans="1:4" ht="15" customHeight="1" x14ac:dyDescent="0.35">
      <c r="A19" s="132" t="s">
        <v>106</v>
      </c>
      <c r="B19" s="133"/>
      <c r="C19" s="133"/>
      <c r="D19" s="134"/>
    </row>
    <row r="20" spans="1:4" ht="137.25" customHeight="1" x14ac:dyDescent="0.35">
      <c r="A20" s="153" t="s">
        <v>107</v>
      </c>
      <c r="B20" s="154"/>
      <c r="C20" s="154"/>
      <c r="D20" s="155"/>
    </row>
    <row r="21" spans="1:4" ht="31.5" customHeight="1" x14ac:dyDescent="0.35">
      <c r="A21" s="2" t="s">
        <v>108</v>
      </c>
      <c r="B21" s="235" t="s">
        <v>170</v>
      </c>
      <c r="C21" s="236"/>
      <c r="D21" s="29" t="s">
        <v>442</v>
      </c>
    </row>
    <row r="22" spans="1:4" ht="146.25" customHeight="1" x14ac:dyDescent="0.35">
      <c r="A22" s="156"/>
      <c r="B22" s="237" t="s">
        <v>459</v>
      </c>
      <c r="C22" s="238"/>
      <c r="D22" s="239"/>
    </row>
    <row r="23" spans="1:4" x14ac:dyDescent="0.35">
      <c r="A23" s="157"/>
      <c r="B23" s="159" t="s">
        <v>113</v>
      </c>
      <c r="C23" s="160"/>
      <c r="D23" s="30" t="s">
        <v>443</v>
      </c>
    </row>
    <row r="24" spans="1:4" ht="167.25" customHeight="1" thickBot="1" x14ac:dyDescent="0.4">
      <c r="A24" s="158"/>
      <c r="B24" s="161" t="s">
        <v>114</v>
      </c>
      <c r="C24" s="162"/>
      <c r="D24" s="163"/>
    </row>
    <row r="25" spans="1:4" x14ac:dyDescent="0.35">
      <c r="A25" s="229" t="s">
        <v>131</v>
      </c>
      <c r="B25" s="230"/>
      <c r="C25" s="230"/>
      <c r="D25" s="231"/>
    </row>
    <row r="26" spans="1:4" ht="16.5" customHeight="1" thickBot="1" x14ac:dyDescent="0.4">
      <c r="A26" s="232" t="s">
        <v>132</v>
      </c>
      <c r="B26" s="233"/>
      <c r="C26" s="234"/>
      <c r="D26" s="20" t="str">
        <f>IF(D21="","TBD",IF(OR(D21="Yes",D21="N/A"),"In Place","Not in Place"))</f>
        <v>In Place</v>
      </c>
    </row>
    <row r="27" spans="1:4" ht="15" customHeight="1" x14ac:dyDescent="0.35">
      <c r="A27" s="229" t="s">
        <v>133</v>
      </c>
      <c r="B27" s="230"/>
      <c r="C27" s="230"/>
      <c r="D27" s="231"/>
    </row>
    <row r="28" spans="1:4" ht="191.25" customHeight="1" thickBot="1" x14ac:dyDescent="0.4">
      <c r="A28" s="177" t="s">
        <v>134</v>
      </c>
      <c r="B28" s="162"/>
      <c r="C28" s="162"/>
      <c r="D28" s="163"/>
    </row>
  </sheetData>
  <mergeCells count="39">
    <mergeCell ref="A25:D25"/>
    <mergeCell ref="A26:C26"/>
    <mergeCell ref="A27:D27"/>
    <mergeCell ref="A28:D28"/>
    <mergeCell ref="A18:D18"/>
    <mergeCell ref="A19:D19"/>
    <mergeCell ref="A20:D20"/>
    <mergeCell ref="B21:C21"/>
    <mergeCell ref="A22:A24"/>
    <mergeCell ref="B22:D22"/>
    <mergeCell ref="B23:C23"/>
    <mergeCell ref="B24:D24"/>
    <mergeCell ref="A17:D17"/>
    <mergeCell ref="A7:B7"/>
    <mergeCell ref="C7:D7"/>
    <mergeCell ref="A8:B8"/>
    <mergeCell ref="C8:D8"/>
    <mergeCell ref="A9:B9"/>
    <mergeCell ref="C9:D9"/>
    <mergeCell ref="A10:B10"/>
    <mergeCell ref="C10:D10"/>
    <mergeCell ref="A11:B11"/>
    <mergeCell ref="C11:D11"/>
    <mergeCell ref="A16:D16"/>
    <mergeCell ref="A15:B15"/>
    <mergeCell ref="C15:D15"/>
    <mergeCell ref="A14:B14"/>
    <mergeCell ref="B1:D1"/>
    <mergeCell ref="A2:D2"/>
    <mergeCell ref="A3:D3"/>
    <mergeCell ref="A4:B4"/>
    <mergeCell ref="C4:D4"/>
    <mergeCell ref="A5:B5"/>
    <mergeCell ref="C5:D5"/>
    <mergeCell ref="A6:B6"/>
    <mergeCell ref="C6:D6"/>
    <mergeCell ref="A13:B13"/>
    <mergeCell ref="C13:D13"/>
    <mergeCell ref="A12:B12"/>
  </mergeCells>
  <conditionalFormatting sqref="A13:B14">
    <cfRule type="expression" dxfId="148" priority="1">
      <formula>$D$24="Not Applicable"</formula>
    </cfRule>
  </conditionalFormatting>
  <conditionalFormatting sqref="A3:D11 A12 C12:D12 A13:D13 C14:D14 A15:D17 A21:D24 A26:D26 A28:D28">
    <cfRule type="expression" dxfId="147" priority="3">
      <formula>$D$26="Not Applicable"</formula>
    </cfRule>
  </conditionalFormatting>
  <conditionalFormatting sqref="B24">
    <cfRule type="expression" dxfId="146" priority="5">
      <formula>D23="No"</formula>
    </cfRule>
  </conditionalFormatting>
  <conditionalFormatting sqref="D21">
    <cfRule type="cellIs" dxfId="145" priority="4" operator="equal">
      <formula>"N/A"</formula>
    </cfRule>
    <cfRule type="cellIs" dxfId="144" priority="8" operator="equal">
      <formula>"No"</formula>
    </cfRule>
    <cfRule type="cellIs" dxfId="143" priority="9" operator="equal">
      <formula>"Yes"</formula>
    </cfRule>
  </conditionalFormatting>
  <conditionalFormatting sqref="D26">
    <cfRule type="cellIs" dxfId="142" priority="6" operator="equal">
      <formula>"Not in Place"</formula>
    </cfRule>
    <cfRule type="cellIs" dxfId="141" priority="7" operator="equal">
      <formula>"In Place"</formula>
    </cfRule>
  </conditionalFormatting>
  <dataValidations count="2">
    <dataValidation type="list" allowBlank="1" showInputMessage="1" showErrorMessage="1" sqref="D21" xr:uid="{00000000-0002-0000-0700-000000000000}">
      <formula1>"Yes,No,N/A"</formula1>
    </dataValidation>
    <dataValidation type="list" allowBlank="1" showInputMessage="1" showErrorMessage="1" sqref="D23" xr:uid="{00000000-0002-0000-0700-000001000000}">
      <formula1>"Yes,No"</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4105-6002-4847-8136-04E750F4473D}">
  <sheetPr>
    <tabColor rgb="FF00B0F0"/>
  </sheetPr>
  <dimension ref="A1:F43"/>
  <sheetViews>
    <sheetView topLeftCell="A17" workbookViewId="0">
      <selection activeCell="B25" sqref="B25:D25"/>
    </sheetView>
  </sheetViews>
  <sheetFormatPr defaultColWidth="8.81640625" defaultRowHeight="12.5" x14ac:dyDescent="0.25"/>
  <cols>
    <col min="1" max="1" width="16.7265625" style="1" customWidth="1"/>
    <col min="2" max="3" width="75.7265625" style="1" customWidth="1"/>
    <col min="4" max="4" width="16.7265625" style="1" customWidth="1"/>
    <col min="5" max="16384" width="8.81640625" style="1"/>
  </cols>
  <sheetData>
    <row r="1" spans="1:6" ht="20.5" thickBot="1" x14ac:dyDescent="0.3">
      <c r="A1" s="63" t="s">
        <v>171</v>
      </c>
      <c r="B1" s="139" t="s">
        <v>172</v>
      </c>
      <c r="C1" s="139"/>
      <c r="D1" s="140"/>
    </row>
    <row r="2" spans="1:6" ht="16" thickBot="1" x14ac:dyDescent="0.3">
      <c r="A2" s="113" t="s">
        <v>86</v>
      </c>
      <c r="B2" s="114"/>
      <c r="C2" s="114"/>
      <c r="D2" s="115"/>
    </row>
    <row r="3" spans="1:6" ht="44.25" customHeight="1" x14ac:dyDescent="0.25">
      <c r="A3" s="141" t="s">
        <v>173</v>
      </c>
      <c r="B3" s="142"/>
      <c r="C3" s="142"/>
      <c r="D3" s="143"/>
    </row>
    <row r="4" spans="1:6" ht="15.5" x14ac:dyDescent="0.25">
      <c r="A4" s="126" t="s">
        <v>88</v>
      </c>
      <c r="B4" s="116"/>
      <c r="C4" s="116" t="s">
        <v>89</v>
      </c>
      <c r="D4" s="117"/>
    </row>
    <row r="5" spans="1:6" x14ac:dyDescent="0.25">
      <c r="A5" s="150" t="s">
        <v>174</v>
      </c>
      <c r="B5" s="127"/>
      <c r="C5" s="127" t="s">
        <v>91</v>
      </c>
      <c r="D5" s="128"/>
    </row>
    <row r="6" spans="1:6" ht="12.75" customHeight="1" x14ac:dyDescent="0.25">
      <c r="A6" s="240" t="s">
        <v>102</v>
      </c>
      <c r="B6" s="181"/>
      <c r="C6" s="181" t="s">
        <v>93</v>
      </c>
      <c r="D6" s="125"/>
    </row>
    <row r="7" spans="1:6" x14ac:dyDescent="0.25">
      <c r="A7" s="147" t="s">
        <v>101</v>
      </c>
      <c r="B7" s="124"/>
      <c r="C7" s="124" t="s">
        <v>95</v>
      </c>
      <c r="D7" s="125"/>
    </row>
    <row r="8" spans="1:6" x14ac:dyDescent="0.25">
      <c r="A8" s="147" t="s">
        <v>175</v>
      </c>
      <c r="B8" s="124"/>
      <c r="C8" s="124" t="s">
        <v>97</v>
      </c>
      <c r="D8" s="125"/>
    </row>
    <row r="9" spans="1:6" x14ac:dyDescent="0.25">
      <c r="A9" s="147" t="s">
        <v>375</v>
      </c>
      <c r="B9" s="124"/>
      <c r="C9" s="124" t="s">
        <v>99</v>
      </c>
      <c r="D9" s="125"/>
    </row>
    <row r="10" spans="1:6" ht="48" customHeight="1" x14ac:dyDescent="0.25">
      <c r="A10" s="121" t="s">
        <v>176</v>
      </c>
      <c r="B10" s="122"/>
      <c r="C10" s="122"/>
      <c r="D10" s="123"/>
    </row>
    <row r="11" spans="1:6" ht="64.5" customHeight="1" thickBot="1" x14ac:dyDescent="0.3">
      <c r="A11" s="118" t="s">
        <v>177</v>
      </c>
      <c r="B11" s="119"/>
      <c r="C11" s="119"/>
      <c r="D11" s="120"/>
    </row>
    <row r="12" spans="1:6" ht="16" thickBot="1" x14ac:dyDescent="0.3">
      <c r="A12" s="136" t="s">
        <v>105</v>
      </c>
      <c r="B12" s="137"/>
      <c r="C12" s="137"/>
      <c r="D12" s="138"/>
    </row>
    <row r="13" spans="1:6" ht="13" x14ac:dyDescent="0.25">
      <c r="A13" s="132" t="s">
        <v>106</v>
      </c>
      <c r="B13" s="133"/>
      <c r="C13" s="133"/>
      <c r="D13" s="134"/>
    </row>
    <row r="14" spans="1:6" customFormat="1" ht="137.25" customHeight="1" x14ac:dyDescent="0.35">
      <c r="A14" s="153" t="s">
        <v>107</v>
      </c>
      <c r="B14" s="154"/>
      <c r="C14" s="154"/>
      <c r="D14" s="155"/>
    </row>
    <row r="15" spans="1:6" ht="13" x14ac:dyDescent="0.25">
      <c r="A15" s="19" t="s">
        <v>108</v>
      </c>
      <c r="B15" s="129"/>
      <c r="C15" s="130"/>
      <c r="D15" s="131"/>
    </row>
    <row r="16" spans="1:6" ht="13" x14ac:dyDescent="0.25">
      <c r="A16" s="2" t="s">
        <v>109</v>
      </c>
      <c r="B16" s="135" t="s">
        <v>110</v>
      </c>
      <c r="C16" s="135"/>
      <c r="D16" s="29" t="s">
        <v>442</v>
      </c>
      <c r="F16" s="21"/>
    </row>
    <row r="17" spans="1:4" ht="40.5" customHeight="1" x14ac:dyDescent="0.25">
      <c r="A17" s="156" t="s">
        <v>111</v>
      </c>
      <c r="B17" s="167" t="s">
        <v>448</v>
      </c>
      <c r="C17" s="167"/>
      <c r="D17" s="168"/>
    </row>
    <row r="18" spans="1:4" ht="13" x14ac:dyDescent="0.25">
      <c r="A18" s="157"/>
      <c r="B18" s="159" t="s">
        <v>113</v>
      </c>
      <c r="C18" s="160"/>
      <c r="D18" s="30" t="s">
        <v>443</v>
      </c>
    </row>
    <row r="19" spans="1:4" ht="51.75" customHeight="1" thickBot="1" x14ac:dyDescent="0.3">
      <c r="A19" s="158"/>
      <c r="B19" s="161" t="s">
        <v>114</v>
      </c>
      <c r="C19" s="162"/>
      <c r="D19" s="163"/>
    </row>
    <row r="20" spans="1:4" ht="13" x14ac:dyDescent="0.25">
      <c r="A20" s="19" t="s">
        <v>115</v>
      </c>
      <c r="B20" s="112" t="s">
        <v>116</v>
      </c>
      <c r="C20" s="112"/>
      <c r="D20" s="31" t="s">
        <v>442</v>
      </c>
    </row>
    <row r="21" spans="1:4" ht="42.75" customHeight="1" x14ac:dyDescent="0.25">
      <c r="A21" s="164" t="s">
        <v>117</v>
      </c>
      <c r="B21" s="167" t="s">
        <v>439</v>
      </c>
      <c r="C21" s="167"/>
      <c r="D21" s="168"/>
    </row>
    <row r="22" spans="1:4" ht="13" x14ac:dyDescent="0.25">
      <c r="A22" s="165"/>
      <c r="B22" s="159" t="s">
        <v>113</v>
      </c>
      <c r="C22" s="160"/>
      <c r="D22" s="30" t="s">
        <v>443</v>
      </c>
    </row>
    <row r="23" spans="1:4" ht="54.75" customHeight="1" thickBot="1" x14ac:dyDescent="0.3">
      <c r="A23" s="166"/>
      <c r="B23" s="161" t="s">
        <v>114</v>
      </c>
      <c r="C23" s="162"/>
      <c r="D23" s="163"/>
    </row>
    <row r="24" spans="1:4" ht="13" x14ac:dyDescent="0.25">
      <c r="A24" s="19" t="s">
        <v>118</v>
      </c>
      <c r="B24" s="112" t="s">
        <v>119</v>
      </c>
      <c r="C24" s="112"/>
      <c r="D24" s="31" t="s">
        <v>442</v>
      </c>
    </row>
    <row r="25" spans="1:4" ht="45" customHeight="1" x14ac:dyDescent="0.25">
      <c r="A25" s="164" t="s">
        <v>120</v>
      </c>
      <c r="B25" s="167" t="s">
        <v>445</v>
      </c>
      <c r="C25" s="167"/>
      <c r="D25" s="168"/>
    </row>
    <row r="26" spans="1:4" ht="13" x14ac:dyDescent="0.25">
      <c r="A26" s="165"/>
      <c r="B26" s="159" t="s">
        <v>113</v>
      </c>
      <c r="C26" s="160"/>
      <c r="D26" s="30" t="s">
        <v>443</v>
      </c>
    </row>
    <row r="27" spans="1:4" ht="56.25" customHeight="1" thickBot="1" x14ac:dyDescent="0.3">
      <c r="A27" s="166"/>
      <c r="B27" s="161" t="s">
        <v>114</v>
      </c>
      <c r="C27" s="162"/>
      <c r="D27" s="163"/>
    </row>
    <row r="28" spans="1:4" ht="13" x14ac:dyDescent="0.25">
      <c r="A28" s="19" t="s">
        <v>121</v>
      </c>
      <c r="B28" s="112" t="s">
        <v>122</v>
      </c>
      <c r="C28" s="112"/>
      <c r="D28" s="31" t="s">
        <v>442</v>
      </c>
    </row>
    <row r="29" spans="1:4" ht="45.75" customHeight="1" x14ac:dyDescent="0.25">
      <c r="A29" s="164" t="s">
        <v>178</v>
      </c>
      <c r="B29" s="167" t="s">
        <v>440</v>
      </c>
      <c r="C29" s="167"/>
      <c r="D29" s="168"/>
    </row>
    <row r="30" spans="1:4" ht="13" x14ac:dyDescent="0.25">
      <c r="A30" s="165"/>
      <c r="B30" s="159" t="s">
        <v>113</v>
      </c>
      <c r="C30" s="160"/>
      <c r="D30" s="30" t="s">
        <v>443</v>
      </c>
    </row>
    <row r="31" spans="1:4" ht="78" customHeight="1" thickBot="1" x14ac:dyDescent="0.3">
      <c r="A31" s="166"/>
      <c r="B31" s="161" t="s">
        <v>114</v>
      </c>
      <c r="C31" s="162"/>
      <c r="D31" s="163"/>
    </row>
    <row r="32" spans="1:4" ht="13" x14ac:dyDescent="0.25">
      <c r="A32" s="19" t="s">
        <v>124</v>
      </c>
      <c r="B32" s="112" t="s">
        <v>125</v>
      </c>
      <c r="C32" s="112"/>
      <c r="D32" s="31" t="s">
        <v>442</v>
      </c>
    </row>
    <row r="33" spans="1:4" ht="57.75" customHeight="1" x14ac:dyDescent="0.25">
      <c r="A33" s="164" t="s">
        <v>126</v>
      </c>
      <c r="B33" s="167" t="s">
        <v>441</v>
      </c>
      <c r="C33" s="167"/>
      <c r="D33" s="168"/>
    </row>
    <row r="34" spans="1:4" ht="13" x14ac:dyDescent="0.25">
      <c r="A34" s="165"/>
      <c r="B34" s="159" t="s">
        <v>113</v>
      </c>
      <c r="C34" s="160"/>
      <c r="D34" s="30" t="s">
        <v>443</v>
      </c>
    </row>
    <row r="35" spans="1:4" ht="69" customHeight="1" thickBot="1" x14ac:dyDescent="0.3">
      <c r="A35" s="166"/>
      <c r="B35" s="161" t="s">
        <v>114</v>
      </c>
      <c r="C35" s="162"/>
      <c r="D35" s="163"/>
    </row>
    <row r="36" spans="1:4" ht="13" x14ac:dyDescent="0.25">
      <c r="A36" s="19" t="s">
        <v>127</v>
      </c>
      <c r="B36" s="112" t="s">
        <v>128</v>
      </c>
      <c r="C36" s="112"/>
      <c r="D36" s="31" t="s">
        <v>442</v>
      </c>
    </row>
    <row r="37" spans="1:4" ht="54.75" customHeight="1" x14ac:dyDescent="0.25">
      <c r="A37" s="164" t="s">
        <v>130</v>
      </c>
      <c r="B37" s="170" t="s">
        <v>444</v>
      </c>
      <c r="C37" s="170"/>
      <c r="D37" s="171"/>
    </row>
    <row r="38" spans="1:4" ht="13" x14ac:dyDescent="0.25">
      <c r="A38" s="165"/>
      <c r="B38" s="169" t="s">
        <v>113</v>
      </c>
      <c r="C38" s="169"/>
      <c r="D38" s="30" t="s">
        <v>443</v>
      </c>
    </row>
    <row r="39" spans="1:4" ht="55.5" customHeight="1" thickBot="1" x14ac:dyDescent="0.3">
      <c r="A39" s="166"/>
      <c r="B39" s="172" t="s">
        <v>114</v>
      </c>
      <c r="C39" s="172"/>
      <c r="D39" s="173"/>
    </row>
    <row r="40" spans="1:4" ht="13" x14ac:dyDescent="0.3">
      <c r="A40" s="174" t="s">
        <v>131</v>
      </c>
      <c r="B40" s="175"/>
      <c r="C40" s="175"/>
      <c r="D40" s="176"/>
    </row>
    <row r="41" spans="1:4" ht="16" thickBot="1" x14ac:dyDescent="0.3">
      <c r="A41" s="178" t="s">
        <v>132</v>
      </c>
      <c r="B41" s="179"/>
      <c r="C41" s="179"/>
      <c r="D41" s="20" t="str">
        <f>IF(OR('User Data'!B1="B",'User Data'!B1="A4"),"Not Applicable",IF(OR(D16="",D20="",D24="",D28="",D32="",D36=""),"TBD",IF(AND(OR(D16="Yes",D16="N/A"),OR(D20="Yes",D20="N/A"),OR(D24="Yes",D24="N/A"),OR(D28="Yes",D28="N/A"),OR(D32="Yes",D32="N/A"),OR(D36="Yes",D36="N/A")),"In Place","Not in Place")))</f>
        <v>In Place</v>
      </c>
    </row>
    <row r="42" spans="1:4" ht="13" x14ac:dyDescent="0.3">
      <c r="A42" s="174" t="s">
        <v>133</v>
      </c>
      <c r="B42" s="175"/>
      <c r="C42" s="175"/>
      <c r="D42" s="176"/>
    </row>
    <row r="43" spans="1:4" ht="13" thickBot="1" x14ac:dyDescent="0.3">
      <c r="A43" s="177" t="s">
        <v>134</v>
      </c>
      <c r="B43" s="162"/>
      <c r="C43" s="162"/>
      <c r="D43" s="163"/>
    </row>
  </sheetData>
  <mergeCells count="55">
    <mergeCell ref="A42:D42"/>
    <mergeCell ref="A43:D43"/>
    <mergeCell ref="A37:A39"/>
    <mergeCell ref="B37:D37"/>
    <mergeCell ref="B38:C38"/>
    <mergeCell ref="B39:D39"/>
    <mergeCell ref="A40:D40"/>
    <mergeCell ref="A41:C41"/>
    <mergeCell ref="B36:C36"/>
    <mergeCell ref="A25:A27"/>
    <mergeCell ref="B25:D25"/>
    <mergeCell ref="B26:C26"/>
    <mergeCell ref="B27:D27"/>
    <mergeCell ref="B28:C28"/>
    <mergeCell ref="A29:A31"/>
    <mergeCell ref="B29:D29"/>
    <mergeCell ref="B30:C30"/>
    <mergeCell ref="B31:D31"/>
    <mergeCell ref="B32:C32"/>
    <mergeCell ref="A33:A35"/>
    <mergeCell ref="B33:D33"/>
    <mergeCell ref="B34:C34"/>
    <mergeCell ref="B35:D35"/>
    <mergeCell ref="B24:C24"/>
    <mergeCell ref="A14:D14"/>
    <mergeCell ref="B15:D15"/>
    <mergeCell ref="B16:C16"/>
    <mergeCell ref="A17:A19"/>
    <mergeCell ref="B17:D17"/>
    <mergeCell ref="B18:C18"/>
    <mergeCell ref="B19:D19"/>
    <mergeCell ref="B20:C20"/>
    <mergeCell ref="A21:A23"/>
    <mergeCell ref="B21:D21"/>
    <mergeCell ref="B22:C22"/>
    <mergeCell ref="B23:D23"/>
    <mergeCell ref="A13:D13"/>
    <mergeCell ref="A6:B6"/>
    <mergeCell ref="C6:D6"/>
    <mergeCell ref="A7:B7"/>
    <mergeCell ref="C7:D7"/>
    <mergeCell ref="A8:B8"/>
    <mergeCell ref="C8:D8"/>
    <mergeCell ref="A9:B9"/>
    <mergeCell ref="C9:D9"/>
    <mergeCell ref="A10:D10"/>
    <mergeCell ref="A11:D11"/>
    <mergeCell ref="A12:D12"/>
    <mergeCell ref="A5:B5"/>
    <mergeCell ref="C5:D5"/>
    <mergeCell ref="B1:D1"/>
    <mergeCell ref="A2:D2"/>
    <mergeCell ref="A3:D3"/>
    <mergeCell ref="A4:B4"/>
    <mergeCell ref="C4:D4"/>
  </mergeCells>
  <conditionalFormatting sqref="A3:D11 A15:D39 A41:C41 A43:D43">
    <cfRule type="expression" dxfId="140" priority="4">
      <formula>$D$41="Not Applicable"</formula>
    </cfRule>
  </conditionalFormatting>
  <conditionalFormatting sqref="B19">
    <cfRule type="expression" dxfId="139" priority="11">
      <formula>$D$18="No"</formula>
    </cfRule>
  </conditionalFormatting>
  <conditionalFormatting sqref="B23">
    <cfRule type="expression" dxfId="138" priority="9">
      <formula>$D$22="No"</formula>
    </cfRule>
  </conditionalFormatting>
  <conditionalFormatting sqref="B27">
    <cfRule type="expression" dxfId="137" priority="8">
      <formula>$D$26="No"</formula>
    </cfRule>
  </conditionalFormatting>
  <conditionalFormatting sqref="B31">
    <cfRule type="expression" dxfId="136" priority="7">
      <formula>$D$30="No"</formula>
    </cfRule>
  </conditionalFormatting>
  <conditionalFormatting sqref="B35">
    <cfRule type="expression" dxfId="135" priority="6">
      <formula>$D$34="No"</formula>
    </cfRule>
  </conditionalFormatting>
  <conditionalFormatting sqref="B39">
    <cfRule type="expression" dxfId="134" priority="5">
      <formula>$D$38="No"</formula>
    </cfRule>
  </conditionalFormatting>
  <conditionalFormatting sqref="D16 D20 D24 D28 D32 D36">
    <cfRule type="cellIs" dxfId="133" priority="10" operator="equal">
      <formula>"N/A"</formula>
    </cfRule>
    <cfRule type="cellIs" dxfId="132" priority="14" operator="equal">
      <formula>"No"</formula>
    </cfRule>
    <cfRule type="cellIs" dxfId="131" priority="15" operator="equal">
      <formula>"Yes"</formula>
    </cfRule>
  </conditionalFormatting>
  <conditionalFormatting sqref="D41">
    <cfRule type="expression" dxfId="130" priority="1">
      <formula>$D$44="Not Applicable"</formula>
    </cfRule>
    <cfRule type="cellIs" dxfId="129" priority="2" operator="equal">
      <formula>"Not in Place"</formula>
    </cfRule>
    <cfRule type="cellIs" dxfId="128" priority="3" operator="equal">
      <formula>"In Place"</formula>
    </cfRule>
  </conditionalFormatting>
  <dataValidations count="2">
    <dataValidation type="list" allowBlank="1" showInputMessage="1" showErrorMessage="1" sqref="D22 D26 D30 D34 D38 D18" xr:uid="{5426E64F-0DE9-486A-A9A5-B56581AD982A}">
      <formula1>"Yes,No"</formula1>
    </dataValidation>
    <dataValidation type="list" allowBlank="1" showInputMessage="1" showErrorMessage="1" sqref="D16 D20 D24 D28 D32 D36" xr:uid="{32ABE113-32E1-4724-BEDA-FA6B5CA07CA9}">
      <formula1>"Yes,No,N/A"</formula1>
    </dataValidation>
  </dataValidations>
  <pageMargins left="0.7" right="0.7" top="0.75" bottom="0.75" header="0.3" footer="0.3"/>
  <pageSetup orientation="portrait"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D22"/>
  <sheetViews>
    <sheetView topLeftCell="A11" zoomScaleNormal="100" workbookViewId="0">
      <selection activeCell="A3" sqref="A3:D3"/>
    </sheetView>
  </sheetViews>
  <sheetFormatPr defaultRowHeight="14.5" x14ac:dyDescent="0.35"/>
  <cols>
    <col min="1" max="1" width="16.7265625" customWidth="1"/>
    <col min="2" max="3" width="75.7265625" customWidth="1"/>
    <col min="4" max="4" width="16.7265625" customWidth="1"/>
  </cols>
  <sheetData>
    <row r="1" spans="1:4" ht="20.5" thickBot="1" x14ac:dyDescent="0.4">
      <c r="A1" s="63">
        <v>2.1</v>
      </c>
      <c r="B1" s="139" t="s">
        <v>179</v>
      </c>
      <c r="C1" s="139"/>
      <c r="D1" s="140"/>
    </row>
    <row r="2" spans="1:4" ht="16" thickBot="1" x14ac:dyDescent="0.4">
      <c r="A2" s="113" t="s">
        <v>86</v>
      </c>
      <c r="B2" s="114"/>
      <c r="C2" s="114"/>
      <c r="D2" s="115"/>
    </row>
    <row r="3" spans="1:4" ht="37.75" customHeight="1" x14ac:dyDescent="0.35">
      <c r="A3" s="141" t="s">
        <v>180</v>
      </c>
      <c r="B3" s="142"/>
      <c r="C3" s="142"/>
      <c r="D3" s="143"/>
    </row>
    <row r="4" spans="1:4" ht="15.5" x14ac:dyDescent="0.35">
      <c r="A4" s="126" t="s">
        <v>88</v>
      </c>
      <c r="B4" s="116"/>
      <c r="C4" s="116" t="s">
        <v>89</v>
      </c>
      <c r="D4" s="117"/>
    </row>
    <row r="5" spans="1:4" ht="13.5" customHeight="1" x14ac:dyDescent="0.35">
      <c r="A5" s="150"/>
      <c r="B5" s="127"/>
      <c r="C5" s="127" t="s">
        <v>181</v>
      </c>
      <c r="D5" s="128"/>
    </row>
    <row r="6" spans="1:4" ht="26.25" customHeight="1" x14ac:dyDescent="0.35">
      <c r="A6" s="148" t="s">
        <v>182</v>
      </c>
      <c r="B6" s="149"/>
      <c r="C6" s="124" t="s">
        <v>183</v>
      </c>
      <c r="D6" s="125"/>
    </row>
    <row r="7" spans="1:4" ht="13.5" customHeight="1" x14ac:dyDescent="0.35">
      <c r="A7" s="184"/>
      <c r="B7" s="181"/>
      <c r="C7" s="195" t="s">
        <v>184</v>
      </c>
      <c r="D7" s="196"/>
    </row>
    <row r="8" spans="1:4" ht="13.5" customHeight="1" x14ac:dyDescent="0.35">
      <c r="A8" s="244"/>
      <c r="B8" s="245"/>
      <c r="C8" s="124" t="s">
        <v>185</v>
      </c>
      <c r="D8" s="125"/>
    </row>
    <row r="9" spans="1:4" ht="13.5" customHeight="1" x14ac:dyDescent="0.35">
      <c r="A9" s="146"/>
      <c r="B9" s="144"/>
      <c r="C9" s="124"/>
      <c r="D9" s="125"/>
    </row>
    <row r="10" spans="1:4" ht="37.75" customHeight="1" x14ac:dyDescent="0.35">
      <c r="A10" s="241" t="s">
        <v>186</v>
      </c>
      <c r="B10" s="242"/>
      <c r="C10" s="242"/>
      <c r="D10" s="243"/>
    </row>
    <row r="11" spans="1:4" ht="37.75" customHeight="1" thickBot="1" x14ac:dyDescent="0.4">
      <c r="A11" s="118" t="s">
        <v>187</v>
      </c>
      <c r="B11" s="119"/>
      <c r="C11" s="119"/>
      <c r="D11" s="120"/>
    </row>
    <row r="12" spans="1:4" ht="16" thickBot="1" x14ac:dyDescent="0.4">
      <c r="A12" s="136" t="s">
        <v>105</v>
      </c>
      <c r="B12" s="137"/>
      <c r="C12" s="137"/>
      <c r="D12" s="138"/>
    </row>
    <row r="13" spans="1:4" x14ac:dyDescent="0.35">
      <c r="A13" s="132" t="s">
        <v>106</v>
      </c>
      <c r="B13" s="133"/>
      <c r="C13" s="133"/>
      <c r="D13" s="134"/>
    </row>
    <row r="14" spans="1:4" ht="137.25" customHeight="1" x14ac:dyDescent="0.35">
      <c r="A14" s="153" t="s">
        <v>107</v>
      </c>
      <c r="B14" s="154"/>
      <c r="C14" s="154"/>
      <c r="D14" s="155"/>
    </row>
    <row r="15" spans="1:4" x14ac:dyDescent="0.35">
      <c r="A15" s="2" t="s">
        <v>108</v>
      </c>
      <c r="B15" s="135" t="s">
        <v>188</v>
      </c>
      <c r="C15" s="135"/>
      <c r="D15" s="29"/>
    </row>
    <row r="16" spans="1:4" ht="153" customHeight="1" x14ac:dyDescent="0.35">
      <c r="A16" s="156"/>
      <c r="B16" s="167" t="s">
        <v>112</v>
      </c>
      <c r="C16" s="167"/>
      <c r="D16" s="168"/>
    </row>
    <row r="17" spans="1:4" x14ac:dyDescent="0.35">
      <c r="A17" s="157"/>
      <c r="B17" s="159" t="s">
        <v>113</v>
      </c>
      <c r="C17" s="160"/>
      <c r="D17" s="30"/>
    </row>
    <row r="18" spans="1:4" ht="117.75" customHeight="1" thickBot="1" x14ac:dyDescent="0.4">
      <c r="A18" s="158"/>
      <c r="B18" s="161" t="s">
        <v>114</v>
      </c>
      <c r="C18" s="162"/>
      <c r="D18" s="163"/>
    </row>
    <row r="19" spans="1:4" x14ac:dyDescent="0.35">
      <c r="A19" s="174" t="s">
        <v>131</v>
      </c>
      <c r="B19" s="175"/>
      <c r="C19" s="175"/>
      <c r="D19" s="176"/>
    </row>
    <row r="20" spans="1:4" ht="16" thickBot="1" x14ac:dyDescent="0.4">
      <c r="A20" s="178" t="s">
        <v>132</v>
      </c>
      <c r="B20" s="179"/>
      <c r="C20" s="179"/>
      <c r="D20" s="20" t="str">
        <f>IF(OR('User Data'!B4="B",'User Data'!B4="A4"),"Not Applicable",IF(D15="","TBD",IF(OR(D15="Yes",D15="N/A"),"In Place","Not in Place")))</f>
        <v>Not Applicable</v>
      </c>
    </row>
    <row r="21" spans="1:4" x14ac:dyDescent="0.35">
      <c r="A21" s="174" t="s">
        <v>133</v>
      </c>
      <c r="B21" s="175"/>
      <c r="C21" s="175"/>
      <c r="D21" s="176"/>
    </row>
    <row r="22" spans="1:4" ht="184.5" customHeight="1" thickBot="1" x14ac:dyDescent="0.4">
      <c r="A22" s="177" t="s">
        <v>134</v>
      </c>
      <c r="B22" s="162"/>
      <c r="C22" s="162"/>
      <c r="D22" s="163"/>
    </row>
  </sheetData>
  <mergeCells count="29">
    <mergeCell ref="A5:B5"/>
    <mergeCell ref="C5:D5"/>
    <mergeCell ref="B1:D1"/>
    <mergeCell ref="A2:D2"/>
    <mergeCell ref="A3:D3"/>
    <mergeCell ref="A4:B4"/>
    <mergeCell ref="C4:D4"/>
    <mergeCell ref="B15:C15"/>
    <mergeCell ref="A6:B6"/>
    <mergeCell ref="C6:D6"/>
    <mergeCell ref="A9:B9"/>
    <mergeCell ref="C8:D8"/>
    <mergeCell ref="A10:D10"/>
    <mergeCell ref="A11:D11"/>
    <mergeCell ref="A12:D12"/>
    <mergeCell ref="A13:D13"/>
    <mergeCell ref="C7:D7"/>
    <mergeCell ref="A7:B7"/>
    <mergeCell ref="C9:D9"/>
    <mergeCell ref="A8:B8"/>
    <mergeCell ref="A14:D14"/>
    <mergeCell ref="A21:D21"/>
    <mergeCell ref="A22:D22"/>
    <mergeCell ref="A16:A18"/>
    <mergeCell ref="B16:D16"/>
    <mergeCell ref="B17:C17"/>
    <mergeCell ref="B18:D18"/>
    <mergeCell ref="A19:D19"/>
    <mergeCell ref="A20:C20"/>
  </mergeCells>
  <conditionalFormatting sqref="A3:D7 A8 A9:B9 A10:D11 A15:D18 A20:D20 A22:D22">
    <cfRule type="expression" dxfId="127" priority="2">
      <formula>$D$20="Not Applicable"</formula>
    </cfRule>
  </conditionalFormatting>
  <conditionalFormatting sqref="B18">
    <cfRule type="expression" dxfId="126" priority="4">
      <formula>D17="No"</formula>
    </cfRule>
  </conditionalFormatting>
  <conditionalFormatting sqref="C8:D9">
    <cfRule type="expression" dxfId="125" priority="1">
      <formula>$D$20="Not Applicable"</formula>
    </cfRule>
  </conditionalFormatting>
  <conditionalFormatting sqref="D15">
    <cfRule type="cellIs" dxfId="124" priority="3" operator="equal">
      <formula>"N/A"</formula>
    </cfRule>
    <cfRule type="cellIs" dxfId="123" priority="7" operator="equal">
      <formula>"No"</formula>
    </cfRule>
    <cfRule type="cellIs" dxfId="122" priority="8" operator="equal">
      <formula>"Yes"</formula>
    </cfRule>
  </conditionalFormatting>
  <conditionalFormatting sqref="D20">
    <cfRule type="cellIs" dxfId="121" priority="5" operator="equal">
      <formula>"Not in Place"</formula>
    </cfRule>
    <cfRule type="cellIs" dxfId="120" priority="6" operator="equal">
      <formula>"In Place"</formula>
    </cfRule>
  </conditionalFormatting>
  <dataValidations count="2">
    <dataValidation type="list" allowBlank="1" showInputMessage="1" showErrorMessage="1" sqref="D17" xr:uid="{00000000-0002-0000-0800-000000000000}">
      <formula1>"Yes,No"</formula1>
    </dataValidation>
    <dataValidation type="list" allowBlank="1" showInputMessage="1" showErrorMessage="1" sqref="D15" xr:uid="{00000000-0002-0000-0800-000001000000}">
      <formula1>"Yes,No,N/A"</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D26"/>
  <sheetViews>
    <sheetView topLeftCell="A8" zoomScale="90" zoomScaleNormal="90" workbookViewId="0">
      <selection activeCell="B20" sqref="B20:D20"/>
    </sheetView>
  </sheetViews>
  <sheetFormatPr defaultRowHeight="14.5" x14ac:dyDescent="0.35"/>
  <cols>
    <col min="1" max="1" width="16.7265625" customWidth="1"/>
    <col min="2" max="3" width="75.7265625" customWidth="1"/>
    <col min="4" max="4" width="16.7265625" customWidth="1"/>
  </cols>
  <sheetData>
    <row r="1" spans="1:4" ht="20.5" thickBot="1" x14ac:dyDescent="0.4">
      <c r="A1" s="63">
        <v>2.2000000000000002</v>
      </c>
      <c r="B1" s="139" t="s">
        <v>189</v>
      </c>
      <c r="C1" s="139"/>
      <c r="D1" s="140"/>
    </row>
    <row r="2" spans="1:4" ht="16" thickBot="1" x14ac:dyDescent="0.4">
      <c r="A2" s="113" t="s">
        <v>86</v>
      </c>
      <c r="B2" s="114"/>
      <c r="C2" s="114"/>
      <c r="D2" s="115"/>
    </row>
    <row r="3" spans="1:4" ht="52.5" customHeight="1" x14ac:dyDescent="0.35">
      <c r="A3" s="216" t="s">
        <v>190</v>
      </c>
      <c r="B3" s="217"/>
      <c r="C3" s="217"/>
      <c r="D3" s="218"/>
    </row>
    <row r="4" spans="1:4" ht="15.5" x14ac:dyDescent="0.35">
      <c r="A4" s="220" t="s">
        <v>88</v>
      </c>
      <c r="B4" s="220"/>
      <c r="C4" s="220" t="s">
        <v>89</v>
      </c>
      <c r="D4" s="221"/>
    </row>
    <row r="5" spans="1:4" ht="15.75" customHeight="1" x14ac:dyDescent="0.35">
      <c r="A5" s="214" t="s">
        <v>191</v>
      </c>
      <c r="B5" s="152"/>
      <c r="C5" s="252" t="s">
        <v>192</v>
      </c>
      <c r="D5" s="253"/>
    </row>
    <row r="6" spans="1:4" ht="22.5" customHeight="1" x14ac:dyDescent="0.35">
      <c r="A6" s="214" t="s">
        <v>193</v>
      </c>
      <c r="B6" s="194"/>
      <c r="C6" s="254"/>
      <c r="D6" s="251"/>
    </row>
    <row r="7" spans="1:4" ht="22.5" customHeight="1" x14ac:dyDescent="0.35">
      <c r="A7" s="255" t="s">
        <v>377</v>
      </c>
      <c r="B7" s="256"/>
      <c r="C7" s="91"/>
      <c r="D7" s="90"/>
    </row>
    <row r="8" spans="1:4" x14ac:dyDescent="0.35">
      <c r="A8" s="214" t="s">
        <v>194</v>
      </c>
      <c r="B8" s="194"/>
      <c r="C8" s="254"/>
      <c r="D8" s="251"/>
    </row>
    <row r="9" spans="1:4" ht="13.5" customHeight="1" x14ac:dyDescent="0.35">
      <c r="A9" s="248" t="s">
        <v>195</v>
      </c>
      <c r="B9" s="249"/>
      <c r="C9" s="250"/>
      <c r="D9" s="251"/>
    </row>
    <row r="10" spans="1:4" ht="25.5" customHeight="1" x14ac:dyDescent="0.35">
      <c r="A10" s="248" t="s">
        <v>196</v>
      </c>
      <c r="B10" s="249"/>
      <c r="C10" s="250"/>
      <c r="D10" s="251"/>
    </row>
    <row r="11" spans="1:4" ht="13.5" customHeight="1" x14ac:dyDescent="0.35">
      <c r="A11" s="248" t="s">
        <v>144</v>
      </c>
      <c r="B11" s="249"/>
      <c r="C11" s="250"/>
      <c r="D11" s="251"/>
    </row>
    <row r="12" spans="1:4" ht="33" customHeight="1" x14ac:dyDescent="0.35">
      <c r="A12" s="214" t="s">
        <v>148</v>
      </c>
      <c r="B12" s="152"/>
      <c r="C12" s="250"/>
      <c r="D12" s="251"/>
    </row>
    <row r="13" spans="1:4" ht="28.5" customHeight="1" x14ac:dyDescent="0.35">
      <c r="A13" s="214" t="s">
        <v>149</v>
      </c>
      <c r="B13" s="152"/>
      <c r="C13" s="246"/>
      <c r="D13" s="247"/>
    </row>
    <row r="14" spans="1:4" ht="37.75" customHeight="1" x14ac:dyDescent="0.35">
      <c r="A14" s="122" t="s">
        <v>197</v>
      </c>
      <c r="B14" s="122"/>
      <c r="C14" s="122"/>
      <c r="D14" s="122"/>
    </row>
    <row r="15" spans="1:4" ht="52.5" customHeight="1" thickBot="1" x14ac:dyDescent="0.4">
      <c r="A15" s="118" t="s">
        <v>198</v>
      </c>
      <c r="B15" s="119"/>
      <c r="C15" s="119"/>
      <c r="D15" s="120"/>
    </row>
    <row r="16" spans="1:4" ht="16" thickBot="1" x14ac:dyDescent="0.4">
      <c r="A16" s="136" t="s">
        <v>105</v>
      </c>
      <c r="B16" s="137"/>
      <c r="C16" s="137"/>
      <c r="D16" s="138"/>
    </row>
    <row r="17" spans="1:4" x14ac:dyDescent="0.35">
      <c r="A17" s="132" t="s">
        <v>106</v>
      </c>
      <c r="B17" s="133"/>
      <c r="C17" s="133"/>
      <c r="D17" s="134"/>
    </row>
    <row r="18" spans="1:4" ht="137.25" customHeight="1" x14ac:dyDescent="0.35">
      <c r="A18" s="153" t="s">
        <v>107</v>
      </c>
      <c r="B18" s="154"/>
      <c r="C18" s="154"/>
      <c r="D18" s="155"/>
    </row>
    <row r="19" spans="1:4" ht="30" customHeight="1" x14ac:dyDescent="0.35">
      <c r="A19" s="2" t="s">
        <v>108</v>
      </c>
      <c r="B19" s="135" t="s">
        <v>199</v>
      </c>
      <c r="C19" s="135"/>
      <c r="D19" s="29" t="s">
        <v>442</v>
      </c>
    </row>
    <row r="20" spans="1:4" ht="191.25" customHeight="1" x14ac:dyDescent="0.35">
      <c r="A20" s="156"/>
      <c r="B20" s="167" t="s">
        <v>460</v>
      </c>
      <c r="C20" s="167"/>
      <c r="D20" s="168"/>
    </row>
    <row r="21" spans="1:4" x14ac:dyDescent="0.35">
      <c r="A21" s="157"/>
      <c r="B21" s="159" t="s">
        <v>113</v>
      </c>
      <c r="C21" s="160"/>
      <c r="D21" s="30" t="s">
        <v>443</v>
      </c>
    </row>
    <row r="22" spans="1:4" ht="111" customHeight="1" thickBot="1" x14ac:dyDescent="0.4">
      <c r="A22" s="158"/>
      <c r="B22" s="161" t="s">
        <v>114</v>
      </c>
      <c r="C22" s="162"/>
      <c r="D22" s="163"/>
    </row>
    <row r="23" spans="1:4" x14ac:dyDescent="0.35">
      <c r="A23" s="174" t="s">
        <v>131</v>
      </c>
      <c r="B23" s="175"/>
      <c r="C23" s="175"/>
      <c r="D23" s="176"/>
    </row>
    <row r="24" spans="1:4" ht="16" thickBot="1" x14ac:dyDescent="0.4">
      <c r="A24" s="178" t="s">
        <v>132</v>
      </c>
      <c r="B24" s="179"/>
      <c r="C24" s="179"/>
      <c r="D24" s="20" t="str">
        <f>IF(D19="","TBD",IF(OR(D19="Yes",D19="N/A"),"In Place","Not in Place"))</f>
        <v>In Place</v>
      </c>
    </row>
    <row r="25" spans="1:4" x14ac:dyDescent="0.35">
      <c r="A25" s="174" t="s">
        <v>133</v>
      </c>
      <c r="B25" s="175"/>
      <c r="C25" s="175"/>
      <c r="D25" s="176"/>
    </row>
    <row r="26" spans="1:4" ht="163.5" customHeight="1" thickBot="1" x14ac:dyDescent="0.4">
      <c r="A26" s="177" t="s">
        <v>134</v>
      </c>
      <c r="B26" s="162"/>
      <c r="C26" s="162"/>
      <c r="D26" s="163"/>
    </row>
  </sheetData>
  <mergeCells count="36">
    <mergeCell ref="A5:B5"/>
    <mergeCell ref="A8:B8"/>
    <mergeCell ref="A6:B6"/>
    <mergeCell ref="A9:B9"/>
    <mergeCell ref="C9:D9"/>
    <mergeCell ref="C5:D5"/>
    <mergeCell ref="C6:D6"/>
    <mergeCell ref="C8:D8"/>
    <mergeCell ref="A7:B7"/>
    <mergeCell ref="A10:B10"/>
    <mergeCell ref="A11:B11"/>
    <mergeCell ref="A12:B12"/>
    <mergeCell ref="C10:D10"/>
    <mergeCell ref="C11:D11"/>
    <mergeCell ref="C12:D12"/>
    <mergeCell ref="B1:D1"/>
    <mergeCell ref="A2:D2"/>
    <mergeCell ref="A3:D3"/>
    <mergeCell ref="A4:B4"/>
    <mergeCell ref="C4:D4"/>
    <mergeCell ref="A25:D25"/>
    <mergeCell ref="A18:D18"/>
    <mergeCell ref="A26:D26"/>
    <mergeCell ref="A16:D16"/>
    <mergeCell ref="A17:D17"/>
    <mergeCell ref="B19:C19"/>
    <mergeCell ref="A20:A22"/>
    <mergeCell ref="B20:D20"/>
    <mergeCell ref="B21:C21"/>
    <mergeCell ref="B22:D22"/>
    <mergeCell ref="A13:B13"/>
    <mergeCell ref="A14:D14"/>
    <mergeCell ref="A15:D15"/>
    <mergeCell ref="A23:D23"/>
    <mergeCell ref="A24:C24"/>
    <mergeCell ref="C13:D13"/>
  </mergeCells>
  <conditionalFormatting sqref="A12:B13">
    <cfRule type="expression" dxfId="119" priority="1">
      <formula>$D$24="Not Applicable"</formula>
    </cfRule>
  </conditionalFormatting>
  <conditionalFormatting sqref="B22">
    <cfRule type="expression" dxfId="118" priority="4">
      <formula>D21="No"</formula>
    </cfRule>
  </conditionalFormatting>
  <conditionalFormatting sqref="D19">
    <cfRule type="cellIs" dxfId="117" priority="3" operator="equal">
      <formula>"N/A"</formula>
    </cfRule>
    <cfRule type="cellIs" dxfId="116" priority="7" operator="equal">
      <formula>"No"</formula>
    </cfRule>
    <cfRule type="cellIs" dxfId="115" priority="8" operator="equal">
      <formula>"Yes"</formula>
    </cfRule>
  </conditionalFormatting>
  <conditionalFormatting sqref="D24">
    <cfRule type="cellIs" dxfId="114" priority="5" operator="equal">
      <formula>"Not in Place"</formula>
    </cfRule>
    <cfRule type="cellIs" dxfId="113" priority="6" operator="equal">
      <formula>"In Place"</formula>
    </cfRule>
  </conditionalFormatting>
  <dataValidations count="2">
    <dataValidation type="list" allowBlank="1" showInputMessage="1" showErrorMessage="1" sqref="D19" xr:uid="{00000000-0002-0000-0900-000000000000}">
      <formula1>"Yes,No,N/A"</formula1>
    </dataValidation>
    <dataValidation type="list" allowBlank="1" showInputMessage="1" showErrorMessage="1" sqref="D21" xr:uid="{00000000-0002-0000-0900-000001000000}">
      <formula1>"Yes,No"</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D24"/>
  <sheetViews>
    <sheetView topLeftCell="A5" zoomScaleNormal="100" workbookViewId="0">
      <selection activeCell="B18" sqref="B18:D18"/>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411</v>
      </c>
      <c r="B1" s="139" t="s">
        <v>200</v>
      </c>
      <c r="C1" s="139"/>
      <c r="D1" s="140"/>
    </row>
    <row r="2" spans="1:4" ht="16" thickBot="1" x14ac:dyDescent="0.4">
      <c r="A2" s="113" t="s">
        <v>86</v>
      </c>
      <c r="B2" s="114"/>
      <c r="C2" s="114"/>
      <c r="D2" s="115"/>
    </row>
    <row r="3" spans="1:4" ht="37.75" customHeight="1" x14ac:dyDescent="0.35">
      <c r="A3" s="188" t="s">
        <v>201</v>
      </c>
      <c r="B3" s="189"/>
      <c r="C3" s="189"/>
      <c r="D3" s="190"/>
    </row>
    <row r="4" spans="1:4" ht="15.5" x14ac:dyDescent="0.35">
      <c r="A4" s="208" t="s">
        <v>88</v>
      </c>
      <c r="B4" s="209"/>
      <c r="C4" s="209" t="s">
        <v>89</v>
      </c>
      <c r="D4" s="210"/>
    </row>
    <row r="5" spans="1:4" ht="13.5" customHeight="1" x14ac:dyDescent="0.35">
      <c r="A5" s="151" t="s">
        <v>202</v>
      </c>
      <c r="B5" s="152"/>
      <c r="C5" s="259" t="s">
        <v>203</v>
      </c>
      <c r="D5" s="207"/>
    </row>
    <row r="6" spans="1:4" ht="13.5" customHeight="1" x14ac:dyDescent="0.35">
      <c r="A6" s="151" t="s">
        <v>195</v>
      </c>
      <c r="B6" s="152"/>
      <c r="C6" s="240" t="s">
        <v>204</v>
      </c>
      <c r="D6" s="196"/>
    </row>
    <row r="7" spans="1:4" ht="26.25" customHeight="1" x14ac:dyDescent="0.35">
      <c r="A7" s="151" t="s">
        <v>205</v>
      </c>
      <c r="B7" s="152"/>
      <c r="D7" s="79"/>
    </row>
    <row r="8" spans="1:4" ht="26.25" customHeight="1" x14ac:dyDescent="0.35">
      <c r="A8" s="151" t="s">
        <v>378</v>
      </c>
      <c r="B8" s="194"/>
      <c r="D8" s="79"/>
    </row>
    <row r="9" spans="1:4" ht="26.25" customHeight="1" x14ac:dyDescent="0.35">
      <c r="A9" s="151" t="s">
        <v>206</v>
      </c>
      <c r="B9" s="194"/>
      <c r="C9" s="260"/>
      <c r="D9" s="201"/>
    </row>
    <row r="10" spans="1:4" ht="13.5" customHeight="1" x14ac:dyDescent="0.35">
      <c r="A10" s="151" t="s">
        <v>207</v>
      </c>
      <c r="B10" s="194"/>
      <c r="C10" s="260"/>
      <c r="D10" s="201"/>
    </row>
    <row r="11" spans="1:4" ht="24" customHeight="1" thickBot="1" x14ac:dyDescent="0.4">
      <c r="A11" s="182" t="s">
        <v>208</v>
      </c>
      <c r="B11" s="183"/>
      <c r="C11" s="257"/>
      <c r="D11" s="258"/>
    </row>
    <row r="12" spans="1:4" ht="37.75" customHeight="1" thickBot="1" x14ac:dyDescent="0.4">
      <c r="A12" s="197" t="s">
        <v>209</v>
      </c>
      <c r="B12" s="198"/>
      <c r="C12" s="198"/>
      <c r="D12" s="199"/>
    </row>
    <row r="13" spans="1:4" ht="52.5" customHeight="1" thickBot="1" x14ac:dyDescent="0.4">
      <c r="A13" s="191" t="s">
        <v>210</v>
      </c>
      <c r="B13" s="192"/>
      <c r="C13" s="192"/>
      <c r="D13" s="193"/>
    </row>
    <row r="14" spans="1:4" ht="16" thickBot="1" x14ac:dyDescent="0.4">
      <c r="A14" s="136" t="s">
        <v>105</v>
      </c>
      <c r="B14" s="137"/>
      <c r="C14" s="137"/>
      <c r="D14" s="138"/>
    </row>
    <row r="15" spans="1:4" x14ac:dyDescent="0.35">
      <c r="A15" s="132" t="s">
        <v>106</v>
      </c>
      <c r="B15" s="133"/>
      <c r="C15" s="133"/>
      <c r="D15" s="134"/>
    </row>
    <row r="16" spans="1:4" ht="137.25" customHeight="1" x14ac:dyDescent="0.35">
      <c r="A16" s="153" t="s">
        <v>107</v>
      </c>
      <c r="B16" s="154"/>
      <c r="C16" s="154"/>
      <c r="D16" s="155"/>
    </row>
    <row r="17" spans="1:4" x14ac:dyDescent="0.35">
      <c r="A17" s="2" t="s">
        <v>108</v>
      </c>
      <c r="B17" s="135" t="s">
        <v>211</v>
      </c>
      <c r="C17" s="135"/>
      <c r="D17" s="29" t="s">
        <v>442</v>
      </c>
    </row>
    <row r="18" spans="1:4" ht="138" customHeight="1" x14ac:dyDescent="0.35">
      <c r="A18" s="156"/>
      <c r="B18" s="167" t="s">
        <v>461</v>
      </c>
      <c r="C18" s="167"/>
      <c r="D18" s="168"/>
    </row>
    <row r="19" spans="1:4" x14ac:dyDescent="0.35">
      <c r="A19" s="157"/>
      <c r="B19" s="159" t="s">
        <v>113</v>
      </c>
      <c r="C19" s="160"/>
      <c r="D19" s="30" t="s">
        <v>443</v>
      </c>
    </row>
    <row r="20" spans="1:4" ht="123.75" customHeight="1" thickBot="1" x14ac:dyDescent="0.4">
      <c r="A20" s="158"/>
      <c r="B20" s="161" t="s">
        <v>114</v>
      </c>
      <c r="C20" s="162"/>
      <c r="D20" s="163"/>
    </row>
    <row r="21" spans="1:4" x14ac:dyDescent="0.35">
      <c r="A21" s="174" t="s">
        <v>131</v>
      </c>
      <c r="B21" s="175"/>
      <c r="C21" s="175"/>
      <c r="D21" s="176"/>
    </row>
    <row r="22" spans="1:4" ht="16" thickBot="1" x14ac:dyDescent="0.4">
      <c r="A22" s="178" t="s">
        <v>132</v>
      </c>
      <c r="B22" s="179"/>
      <c r="C22" s="179"/>
      <c r="D22" s="20" t="str">
        <f>IF(D17="","TBD",IF(OR(D17="Yes",D17="N/A"),"In Place","Not in Place"))</f>
        <v>In Place</v>
      </c>
    </row>
    <row r="23" spans="1:4" x14ac:dyDescent="0.35">
      <c r="A23" s="174" t="s">
        <v>133</v>
      </c>
      <c r="B23" s="175"/>
      <c r="C23" s="175"/>
      <c r="D23" s="176"/>
    </row>
    <row r="24" spans="1:4" ht="149.25" customHeight="1" thickBot="1" x14ac:dyDescent="0.4">
      <c r="A24" s="177" t="s">
        <v>134</v>
      </c>
      <c r="B24" s="162"/>
      <c r="C24" s="162"/>
      <c r="D24" s="163"/>
    </row>
  </sheetData>
  <mergeCells count="31">
    <mergeCell ref="A5:B5"/>
    <mergeCell ref="C5:D5"/>
    <mergeCell ref="A9:B9"/>
    <mergeCell ref="A10:B10"/>
    <mergeCell ref="C9:D9"/>
    <mergeCell ref="C10:D10"/>
    <mergeCell ref="A7:B7"/>
    <mergeCell ref="C6:D6"/>
    <mergeCell ref="A6:B6"/>
    <mergeCell ref="A8:B8"/>
    <mergeCell ref="B1:D1"/>
    <mergeCell ref="A2:D2"/>
    <mergeCell ref="A3:D3"/>
    <mergeCell ref="A4:B4"/>
    <mergeCell ref="C4:D4"/>
    <mergeCell ref="A12:D12"/>
    <mergeCell ref="A13:D13"/>
    <mergeCell ref="A14:D14"/>
    <mergeCell ref="A11:B11"/>
    <mergeCell ref="C11:D11"/>
    <mergeCell ref="A24:D24"/>
    <mergeCell ref="A15:D15"/>
    <mergeCell ref="A16:D16"/>
    <mergeCell ref="A21:D21"/>
    <mergeCell ref="A22:C22"/>
    <mergeCell ref="A23:D23"/>
    <mergeCell ref="B17:C17"/>
    <mergeCell ref="A18:A20"/>
    <mergeCell ref="B18:D18"/>
    <mergeCell ref="B19:C19"/>
    <mergeCell ref="B20:D20"/>
  </mergeCells>
  <conditionalFormatting sqref="A7:A8">
    <cfRule type="expression" dxfId="112" priority="5">
      <formula>$D$22="Not Applicable"</formula>
    </cfRule>
  </conditionalFormatting>
  <conditionalFormatting sqref="A11:B11">
    <cfRule type="expression" dxfId="111" priority="1">
      <formula>$D$23="Not Applicable"</formula>
    </cfRule>
  </conditionalFormatting>
  <conditionalFormatting sqref="B20">
    <cfRule type="expression" dxfId="110" priority="7">
      <formula>D19="No"</formula>
    </cfRule>
  </conditionalFormatting>
  <conditionalFormatting sqref="D17">
    <cfRule type="cellIs" dxfId="109" priority="6" operator="equal">
      <formula>"N/A"</formula>
    </cfRule>
    <cfRule type="cellIs" dxfId="108" priority="10" operator="equal">
      <formula>"No"</formula>
    </cfRule>
    <cfRule type="cellIs" dxfId="107" priority="11" operator="equal">
      <formula>"Yes"</formula>
    </cfRule>
  </conditionalFormatting>
  <conditionalFormatting sqref="D22">
    <cfRule type="cellIs" dxfId="106" priority="8" operator="equal">
      <formula>"Not in Place"</formula>
    </cfRule>
    <cfRule type="cellIs" dxfId="105" priority="9" operator="equal">
      <formula>"In Place"</formula>
    </cfRule>
  </conditionalFormatting>
  <dataValidations count="2">
    <dataValidation type="list" allowBlank="1" showInputMessage="1" showErrorMessage="1" sqref="D19" xr:uid="{00000000-0002-0000-0A00-000000000000}">
      <formula1>"Yes,No"</formula1>
    </dataValidation>
    <dataValidation type="list" allowBlank="1" showInputMessage="1" showErrorMessage="1" sqref="D17" xr:uid="{00000000-0002-0000-0A00-000001000000}">
      <formula1>"Yes,No,N/A"</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D30"/>
  <sheetViews>
    <sheetView topLeftCell="A12" zoomScaleNormal="100" workbookViewId="0">
      <selection activeCell="B24" sqref="B24:D24"/>
    </sheetView>
  </sheetViews>
  <sheetFormatPr defaultRowHeight="14.5" x14ac:dyDescent="0.35"/>
  <cols>
    <col min="1" max="1" width="16.7265625" customWidth="1"/>
    <col min="2" max="3" width="75.7265625" customWidth="1"/>
    <col min="4" max="4" width="16.7265625" customWidth="1"/>
  </cols>
  <sheetData>
    <row r="1" spans="1:4" ht="21" customHeight="1" thickBot="1" x14ac:dyDescent="0.4">
      <c r="A1" s="63" t="s">
        <v>420</v>
      </c>
      <c r="B1" s="139" t="s">
        <v>212</v>
      </c>
      <c r="C1" s="139"/>
      <c r="D1" s="140"/>
    </row>
    <row r="2" spans="1:4" ht="16" thickBot="1" x14ac:dyDescent="0.4">
      <c r="A2" s="113" t="s">
        <v>86</v>
      </c>
      <c r="B2" s="114"/>
      <c r="C2" s="114"/>
      <c r="D2" s="115"/>
    </row>
    <row r="3" spans="1:4" ht="37.75" customHeight="1" x14ac:dyDescent="0.35">
      <c r="A3" s="263" t="s">
        <v>435</v>
      </c>
      <c r="B3" s="264"/>
      <c r="C3" s="264"/>
      <c r="D3" s="265"/>
    </row>
    <row r="4" spans="1:4" ht="15.5" x14ac:dyDescent="0.35">
      <c r="A4" s="266" t="s">
        <v>88</v>
      </c>
      <c r="B4" s="267"/>
      <c r="C4" s="267" t="s">
        <v>89</v>
      </c>
      <c r="D4" s="268"/>
    </row>
    <row r="5" spans="1:4" ht="15.5" x14ac:dyDescent="0.35">
      <c r="A5" s="204" t="s">
        <v>213</v>
      </c>
      <c r="B5" s="269"/>
      <c r="C5" s="45"/>
      <c r="D5" s="46"/>
    </row>
    <row r="6" spans="1:4" x14ac:dyDescent="0.35">
      <c r="A6" s="151" t="s">
        <v>214</v>
      </c>
      <c r="B6" s="152"/>
      <c r="C6" s="205" t="s">
        <v>215</v>
      </c>
      <c r="D6" s="253"/>
    </row>
    <row r="7" spans="1:4" x14ac:dyDescent="0.35">
      <c r="A7" s="76" t="s">
        <v>195</v>
      </c>
      <c r="B7" s="53"/>
      <c r="C7" s="194" t="s">
        <v>216</v>
      </c>
      <c r="D7" s="215"/>
    </row>
    <row r="8" spans="1:4" ht="14.25" customHeight="1" x14ac:dyDescent="0.35">
      <c r="A8" s="151" t="s">
        <v>217</v>
      </c>
      <c r="B8" s="152"/>
      <c r="C8" s="194" t="s">
        <v>218</v>
      </c>
      <c r="D8" s="215"/>
    </row>
    <row r="9" spans="1:4" x14ac:dyDescent="0.35">
      <c r="A9" s="151" t="s">
        <v>219</v>
      </c>
      <c r="B9" s="152"/>
      <c r="D9" s="79"/>
    </row>
    <row r="10" spans="1:4" x14ac:dyDescent="0.35">
      <c r="A10" s="151" t="s">
        <v>220</v>
      </c>
      <c r="B10" s="152"/>
      <c r="C10" s="77"/>
      <c r="D10" s="39"/>
    </row>
    <row r="11" spans="1:4" x14ac:dyDescent="0.35">
      <c r="A11" s="151" t="s">
        <v>144</v>
      </c>
      <c r="B11" s="152"/>
      <c r="C11" s="77"/>
      <c r="D11" s="39"/>
    </row>
    <row r="12" spans="1:4" ht="23.25" customHeight="1" x14ac:dyDescent="0.35">
      <c r="A12" s="151" t="s">
        <v>221</v>
      </c>
      <c r="B12" s="152"/>
      <c r="C12" s="77"/>
      <c r="D12" s="39"/>
    </row>
    <row r="13" spans="1:4" x14ac:dyDescent="0.35">
      <c r="A13" s="151" t="s">
        <v>222</v>
      </c>
      <c r="B13" s="152"/>
      <c r="C13" s="77"/>
      <c r="D13" s="39"/>
    </row>
    <row r="14" spans="1:4" x14ac:dyDescent="0.35">
      <c r="A14" s="151" t="s">
        <v>378</v>
      </c>
      <c r="B14" s="152"/>
      <c r="C14" s="77"/>
      <c r="D14" s="39"/>
    </row>
    <row r="15" spans="1:4" x14ac:dyDescent="0.35">
      <c r="A15" s="151" t="s">
        <v>379</v>
      </c>
      <c r="B15" s="152"/>
      <c r="C15" s="77"/>
      <c r="D15" s="39"/>
    </row>
    <row r="16" spans="1:4" x14ac:dyDescent="0.35">
      <c r="A16" s="151" t="s">
        <v>223</v>
      </c>
      <c r="B16" s="152"/>
      <c r="C16" s="77"/>
      <c r="D16" s="39"/>
    </row>
    <row r="17" spans="1:4" ht="29.25" customHeight="1" x14ac:dyDescent="0.35">
      <c r="A17" s="261" t="s">
        <v>224</v>
      </c>
      <c r="B17" s="262"/>
      <c r="C17" s="40"/>
      <c r="D17" s="41"/>
    </row>
    <row r="18" spans="1:4" ht="48" customHeight="1" x14ac:dyDescent="0.35">
      <c r="A18" s="216" t="s">
        <v>380</v>
      </c>
      <c r="B18" s="217"/>
      <c r="C18" s="217"/>
      <c r="D18" s="218"/>
    </row>
    <row r="19" spans="1:4" ht="69.75" customHeight="1" thickBot="1" x14ac:dyDescent="0.4">
      <c r="A19" s="118" t="s">
        <v>225</v>
      </c>
      <c r="B19" s="119"/>
      <c r="C19" s="119"/>
      <c r="D19" s="120"/>
    </row>
    <row r="20" spans="1:4" ht="16" thickBot="1" x14ac:dyDescent="0.4">
      <c r="A20" s="136" t="s">
        <v>105</v>
      </c>
      <c r="B20" s="137"/>
      <c r="C20" s="137"/>
      <c r="D20" s="138"/>
    </row>
    <row r="21" spans="1:4" x14ac:dyDescent="0.35">
      <c r="A21" s="132" t="s">
        <v>106</v>
      </c>
      <c r="B21" s="133"/>
      <c r="C21" s="133"/>
      <c r="D21" s="134"/>
    </row>
    <row r="22" spans="1:4" ht="137.25" customHeight="1" x14ac:dyDescent="0.35">
      <c r="A22" s="153" t="s">
        <v>107</v>
      </c>
      <c r="B22" s="154"/>
      <c r="C22" s="154"/>
      <c r="D22" s="155"/>
    </row>
    <row r="23" spans="1:4" x14ac:dyDescent="0.35">
      <c r="A23" s="2" t="s">
        <v>108</v>
      </c>
      <c r="B23" s="135" t="s">
        <v>226</v>
      </c>
      <c r="C23" s="135"/>
      <c r="D23" s="29" t="s">
        <v>442</v>
      </c>
    </row>
    <row r="24" spans="1:4" ht="141" customHeight="1" x14ac:dyDescent="0.35">
      <c r="A24" s="156"/>
      <c r="B24" s="167" t="s">
        <v>449</v>
      </c>
      <c r="C24" s="167"/>
      <c r="D24" s="168"/>
    </row>
    <row r="25" spans="1:4" x14ac:dyDescent="0.35">
      <c r="A25" s="157"/>
      <c r="B25" s="159" t="s">
        <v>113</v>
      </c>
      <c r="C25" s="160"/>
      <c r="D25" s="30" t="s">
        <v>443</v>
      </c>
    </row>
    <row r="26" spans="1:4" ht="134.25" customHeight="1" thickBot="1" x14ac:dyDescent="0.4">
      <c r="A26" s="158"/>
      <c r="B26" s="161" t="s">
        <v>114</v>
      </c>
      <c r="C26" s="162"/>
      <c r="D26" s="163"/>
    </row>
    <row r="27" spans="1:4" x14ac:dyDescent="0.35">
      <c r="A27" s="174" t="s">
        <v>131</v>
      </c>
      <c r="B27" s="175"/>
      <c r="C27" s="175"/>
      <c r="D27" s="176"/>
    </row>
    <row r="28" spans="1:4" ht="16" thickBot="1" x14ac:dyDescent="0.4">
      <c r="A28" s="178" t="s">
        <v>132</v>
      </c>
      <c r="B28" s="179"/>
      <c r="C28" s="179"/>
      <c r="D28" s="20" t="str">
        <f>IF(D23="","TBD",IF(OR(D23="Yes",D23="N/A"),"In Place","Not in Place"))</f>
        <v>In Place</v>
      </c>
    </row>
    <row r="29" spans="1:4" x14ac:dyDescent="0.35">
      <c r="A29" s="174" t="s">
        <v>133</v>
      </c>
      <c r="B29" s="175"/>
      <c r="C29" s="175"/>
      <c r="D29" s="176"/>
    </row>
    <row r="30" spans="1:4" ht="134.25" customHeight="1" thickBot="1" x14ac:dyDescent="0.4">
      <c r="A30" s="177" t="s">
        <v>134</v>
      </c>
      <c r="B30" s="162"/>
      <c r="C30" s="162"/>
      <c r="D30" s="163"/>
    </row>
  </sheetData>
  <mergeCells count="34">
    <mergeCell ref="A15:B15"/>
    <mergeCell ref="A16:B16"/>
    <mergeCell ref="A5:B5"/>
    <mergeCell ref="A10:B10"/>
    <mergeCell ref="A11:B11"/>
    <mergeCell ref="A12:B12"/>
    <mergeCell ref="A13:B13"/>
    <mergeCell ref="A6:B6"/>
    <mergeCell ref="A14:B14"/>
    <mergeCell ref="C6:D6"/>
    <mergeCell ref="A8:B8"/>
    <mergeCell ref="C7:D7"/>
    <mergeCell ref="A9:B9"/>
    <mergeCell ref="C8:D8"/>
    <mergeCell ref="B1:D1"/>
    <mergeCell ref="A2:D2"/>
    <mergeCell ref="A3:D3"/>
    <mergeCell ref="A4:B4"/>
    <mergeCell ref="C4:D4"/>
    <mergeCell ref="A29:D29"/>
    <mergeCell ref="A30:D30"/>
    <mergeCell ref="A20:D20"/>
    <mergeCell ref="A21:D21"/>
    <mergeCell ref="B23:C23"/>
    <mergeCell ref="A24:A26"/>
    <mergeCell ref="B24:D24"/>
    <mergeCell ref="B25:C25"/>
    <mergeCell ref="B26:D26"/>
    <mergeCell ref="A22:D22"/>
    <mergeCell ref="A19:D19"/>
    <mergeCell ref="A18:D18"/>
    <mergeCell ref="A17:B17"/>
    <mergeCell ref="A27:D27"/>
    <mergeCell ref="A28:C28"/>
  </mergeCells>
  <conditionalFormatting sqref="B26">
    <cfRule type="expression" dxfId="104" priority="2">
      <formula>D25="No"</formula>
    </cfRule>
  </conditionalFormatting>
  <conditionalFormatting sqref="D23">
    <cfRule type="cellIs" dxfId="103" priority="1" operator="equal">
      <formula>"N/A"</formula>
    </cfRule>
    <cfRule type="cellIs" dxfId="102" priority="5" operator="equal">
      <formula>"No"</formula>
    </cfRule>
    <cfRule type="cellIs" dxfId="101" priority="6" operator="equal">
      <formula>"Yes"</formula>
    </cfRule>
  </conditionalFormatting>
  <conditionalFormatting sqref="D28">
    <cfRule type="cellIs" dxfId="100" priority="3" operator="equal">
      <formula>"Not in Place"</formula>
    </cfRule>
    <cfRule type="cellIs" dxfId="99" priority="4" operator="equal">
      <formula>"In Place"</formula>
    </cfRule>
  </conditionalFormatting>
  <dataValidations count="2">
    <dataValidation type="list" allowBlank="1" showInputMessage="1" showErrorMessage="1" sqref="D25" xr:uid="{00000000-0002-0000-0B00-000000000000}">
      <formula1>"Yes,No"</formula1>
    </dataValidation>
    <dataValidation type="list" allowBlank="1" showInputMessage="1" showErrorMessage="1" sqref="D23" xr:uid="{00000000-0002-0000-0B00-000001000000}">
      <formula1>"Yes,No,N/A"</formula1>
    </dataValidation>
  </dataValidations>
  <pageMargins left="0.7" right="0.7" top="0.75" bottom="0.75" header="0.3" footer="0.3"/>
  <pageSetup orientation="portrait" horizontalDpi="90" verticalDpi="9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D24"/>
  <sheetViews>
    <sheetView topLeftCell="A3" zoomScale="89" zoomScaleNormal="100" workbookViewId="0">
      <selection activeCell="B18" sqref="B18:D18"/>
    </sheetView>
  </sheetViews>
  <sheetFormatPr defaultRowHeight="14.5" x14ac:dyDescent="0.35"/>
  <cols>
    <col min="1" max="1" width="22.26953125" bestFit="1" customWidth="1"/>
    <col min="2" max="3" width="75.7265625" customWidth="1"/>
    <col min="4" max="4" width="16.7265625" customWidth="1"/>
  </cols>
  <sheetData>
    <row r="1" spans="1:4" ht="20.5" thickBot="1" x14ac:dyDescent="0.4">
      <c r="A1" s="63" t="s">
        <v>227</v>
      </c>
      <c r="B1" s="139" t="s">
        <v>228</v>
      </c>
      <c r="C1" s="139"/>
      <c r="D1" s="140"/>
    </row>
    <row r="2" spans="1:4" ht="16" thickBot="1" x14ac:dyDescent="0.4">
      <c r="A2" s="113" t="s">
        <v>86</v>
      </c>
      <c r="B2" s="114"/>
      <c r="C2" s="114"/>
      <c r="D2" s="115"/>
    </row>
    <row r="3" spans="1:4" ht="37.75" customHeight="1" x14ac:dyDescent="0.35">
      <c r="A3" s="188" t="s">
        <v>229</v>
      </c>
      <c r="B3" s="189"/>
      <c r="C3" s="189"/>
      <c r="D3" s="190"/>
    </row>
    <row r="4" spans="1:4" ht="15.5" x14ac:dyDescent="0.35">
      <c r="A4" s="208" t="s">
        <v>88</v>
      </c>
      <c r="B4" s="209"/>
      <c r="C4" s="209" t="s">
        <v>89</v>
      </c>
      <c r="D4" s="210"/>
    </row>
    <row r="5" spans="1:4" ht="13.5" customHeight="1" x14ac:dyDescent="0.35">
      <c r="A5" s="204" t="s">
        <v>101</v>
      </c>
      <c r="B5" s="269"/>
      <c r="C5" s="206" t="s">
        <v>192</v>
      </c>
      <c r="D5" s="207"/>
    </row>
    <row r="6" spans="1:4" ht="13.5" customHeight="1" x14ac:dyDescent="0.35">
      <c r="A6" s="270" t="s">
        <v>230</v>
      </c>
      <c r="B6" s="271"/>
      <c r="C6" s="33" t="s">
        <v>231</v>
      </c>
      <c r="D6" s="34"/>
    </row>
    <row r="7" spans="1:4" ht="13.5" customHeight="1" x14ac:dyDescent="0.35">
      <c r="A7" s="151" t="s">
        <v>232</v>
      </c>
      <c r="B7" s="152"/>
      <c r="C7" s="195"/>
      <c r="D7" s="196"/>
    </row>
    <row r="8" spans="1:4" ht="13.5" customHeight="1" x14ac:dyDescent="0.35">
      <c r="A8" s="151" t="s">
        <v>383</v>
      </c>
      <c r="B8" s="152"/>
      <c r="C8" s="33"/>
      <c r="D8" s="34"/>
    </row>
    <row r="9" spans="1:4" ht="26.25" customHeight="1" x14ac:dyDescent="0.35">
      <c r="A9" s="151" t="s">
        <v>233</v>
      </c>
      <c r="B9" s="152"/>
      <c r="C9" s="33"/>
      <c r="D9" s="34"/>
    </row>
    <row r="10" spans="1:4" ht="25.5" customHeight="1" x14ac:dyDescent="0.35">
      <c r="A10" s="151" t="s">
        <v>234</v>
      </c>
      <c r="B10" s="152"/>
      <c r="C10" s="42"/>
      <c r="D10" s="43"/>
    </row>
    <row r="11" spans="1:4" ht="13.5" customHeight="1" x14ac:dyDescent="0.35">
      <c r="A11" s="261" t="s">
        <v>235</v>
      </c>
      <c r="B11" s="262"/>
      <c r="C11" s="60"/>
      <c r="D11" s="84"/>
    </row>
    <row r="12" spans="1:4" ht="37.75" customHeight="1" x14ac:dyDescent="0.35">
      <c r="A12" s="141" t="s">
        <v>381</v>
      </c>
      <c r="B12" s="142"/>
      <c r="C12" s="142"/>
      <c r="D12" s="143"/>
    </row>
    <row r="13" spans="1:4" ht="91.5" customHeight="1" thickBot="1" x14ac:dyDescent="0.4">
      <c r="A13" s="118" t="s">
        <v>382</v>
      </c>
      <c r="B13" s="119"/>
      <c r="C13" s="119"/>
      <c r="D13" s="120"/>
    </row>
    <row r="14" spans="1:4" ht="16" thickBot="1" x14ac:dyDescent="0.4">
      <c r="A14" s="136" t="s">
        <v>105</v>
      </c>
      <c r="B14" s="137"/>
      <c r="C14" s="137"/>
      <c r="D14" s="138"/>
    </row>
    <row r="15" spans="1:4" x14ac:dyDescent="0.35">
      <c r="A15" s="132" t="s">
        <v>106</v>
      </c>
      <c r="B15" s="133"/>
      <c r="C15" s="133"/>
      <c r="D15" s="134"/>
    </row>
    <row r="16" spans="1:4" ht="137.25" customHeight="1" x14ac:dyDescent="0.35">
      <c r="A16" s="153" t="s">
        <v>107</v>
      </c>
      <c r="B16" s="154"/>
      <c r="C16" s="154"/>
      <c r="D16" s="155"/>
    </row>
    <row r="17" spans="1:4" x14ac:dyDescent="0.35">
      <c r="A17" s="2" t="s">
        <v>108</v>
      </c>
      <c r="B17" s="135" t="s">
        <v>236</v>
      </c>
      <c r="C17" s="135"/>
      <c r="D17" s="29" t="s">
        <v>442</v>
      </c>
    </row>
    <row r="18" spans="1:4" ht="135" customHeight="1" x14ac:dyDescent="0.35">
      <c r="A18" s="156"/>
      <c r="B18" s="167" t="s">
        <v>450</v>
      </c>
      <c r="C18" s="167"/>
      <c r="D18" s="168"/>
    </row>
    <row r="19" spans="1:4" x14ac:dyDescent="0.35">
      <c r="A19" s="157"/>
      <c r="B19" s="159" t="s">
        <v>113</v>
      </c>
      <c r="C19" s="160"/>
      <c r="D19" s="30" t="s">
        <v>443</v>
      </c>
    </row>
    <row r="20" spans="1:4" ht="144.75" customHeight="1" thickBot="1" x14ac:dyDescent="0.4">
      <c r="A20" s="158"/>
      <c r="B20" s="161" t="s">
        <v>114</v>
      </c>
      <c r="C20" s="162"/>
      <c r="D20" s="163"/>
    </row>
    <row r="21" spans="1:4" x14ac:dyDescent="0.35">
      <c r="A21" s="174" t="s">
        <v>131</v>
      </c>
      <c r="B21" s="175"/>
      <c r="C21" s="175"/>
      <c r="D21" s="176"/>
    </row>
    <row r="22" spans="1:4" ht="16" thickBot="1" x14ac:dyDescent="0.4">
      <c r="A22" s="178" t="s">
        <v>132</v>
      </c>
      <c r="B22" s="179"/>
      <c r="C22" s="179"/>
      <c r="D22" s="20" t="str">
        <f>IF(D17="","TBD",IF(OR(D17="Yes",D17="N/A"),"In Place","Not in Place"))</f>
        <v>In Place</v>
      </c>
    </row>
    <row r="23" spans="1:4" x14ac:dyDescent="0.35">
      <c r="A23" s="174" t="s">
        <v>133</v>
      </c>
      <c r="B23" s="175"/>
      <c r="C23" s="175"/>
      <c r="D23" s="176"/>
    </row>
    <row r="24" spans="1:4" ht="141" customHeight="1" thickBot="1" x14ac:dyDescent="0.4">
      <c r="A24" s="177" t="s">
        <v>134</v>
      </c>
      <c r="B24" s="162"/>
      <c r="C24" s="162"/>
      <c r="D24" s="163"/>
    </row>
  </sheetData>
  <mergeCells count="28">
    <mergeCell ref="B1:D1"/>
    <mergeCell ref="A2:D2"/>
    <mergeCell ref="A3:D3"/>
    <mergeCell ref="B17:C17"/>
    <mergeCell ref="A4:B4"/>
    <mergeCell ref="C4:D4"/>
    <mergeCell ref="A5:B5"/>
    <mergeCell ref="C5:D5"/>
    <mergeCell ref="A7:B7"/>
    <mergeCell ref="C7:D7"/>
    <mergeCell ref="A12:D12"/>
    <mergeCell ref="A13:D13"/>
    <mergeCell ref="A14:D14"/>
    <mergeCell ref="A15:D15"/>
    <mergeCell ref="A6:B6"/>
    <mergeCell ref="A11:B11"/>
    <mergeCell ref="A24:D24"/>
    <mergeCell ref="A18:A20"/>
    <mergeCell ref="B18:D18"/>
    <mergeCell ref="B19:C19"/>
    <mergeCell ref="B20:D20"/>
    <mergeCell ref="A21:D21"/>
    <mergeCell ref="A22:C22"/>
    <mergeCell ref="A8:B8"/>
    <mergeCell ref="A9:B9"/>
    <mergeCell ref="A10:B10"/>
    <mergeCell ref="A16:D16"/>
    <mergeCell ref="A23:D23"/>
  </mergeCells>
  <conditionalFormatting sqref="B20">
    <cfRule type="expression" dxfId="98" priority="2">
      <formula>D19="No"</formula>
    </cfRule>
  </conditionalFormatting>
  <conditionalFormatting sqref="D17">
    <cfRule type="cellIs" dxfId="97" priority="1" operator="equal">
      <formula>"N/A"</formula>
    </cfRule>
    <cfRule type="cellIs" dxfId="96" priority="5" operator="equal">
      <formula>"No"</formula>
    </cfRule>
    <cfRule type="cellIs" dxfId="95" priority="6" operator="equal">
      <formula>"Yes"</formula>
    </cfRule>
  </conditionalFormatting>
  <conditionalFormatting sqref="D22">
    <cfRule type="cellIs" dxfId="94" priority="3" operator="equal">
      <formula>"Not in Place"</formula>
    </cfRule>
    <cfRule type="cellIs" dxfId="93" priority="4" operator="equal">
      <formula>"In Place"</formula>
    </cfRule>
  </conditionalFormatting>
  <dataValidations count="2">
    <dataValidation type="list" allowBlank="1" showInputMessage="1" showErrorMessage="1" sqref="D17" xr:uid="{00000000-0002-0000-0C00-000000000000}">
      <formula1>"Yes,No,N/A"</formula1>
    </dataValidation>
    <dataValidation type="list" allowBlank="1" showInputMessage="1" showErrorMessage="1" sqref="D19" xr:uid="{00000000-0002-0000-0C00-000001000000}">
      <formula1>"Yes,No"</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1C42-AA7E-408A-8F89-15150AC63B9F}">
  <sheetPr>
    <tabColor rgb="FF0070C0"/>
  </sheetPr>
  <dimension ref="A1:D21"/>
  <sheetViews>
    <sheetView topLeftCell="A13" zoomScaleNormal="100" workbookViewId="0">
      <selection activeCell="B15" sqref="B15:D15"/>
    </sheetView>
  </sheetViews>
  <sheetFormatPr defaultRowHeight="14.5" x14ac:dyDescent="0.35"/>
  <cols>
    <col min="1" max="1" width="16.81640625" customWidth="1"/>
    <col min="2" max="2" width="82.54296875" customWidth="1"/>
    <col min="3" max="3" width="75.81640625" customWidth="1"/>
    <col min="4" max="4" width="16.81640625" customWidth="1"/>
  </cols>
  <sheetData>
    <row r="1" spans="1:4" ht="20.5" thickBot="1" x14ac:dyDescent="0.4">
      <c r="A1" s="63" t="s">
        <v>426</v>
      </c>
      <c r="B1" s="139" t="s">
        <v>237</v>
      </c>
      <c r="C1" s="139"/>
      <c r="D1" s="140"/>
    </row>
    <row r="2" spans="1:4" ht="16" thickBot="1" x14ac:dyDescent="0.4">
      <c r="A2" s="113" t="s">
        <v>86</v>
      </c>
      <c r="B2" s="114"/>
      <c r="C2" s="114"/>
      <c r="D2" s="115"/>
    </row>
    <row r="3" spans="1:4" ht="43.5" customHeight="1" x14ac:dyDescent="0.35">
      <c r="A3" s="188" t="s">
        <v>238</v>
      </c>
      <c r="B3" s="189"/>
      <c r="C3" s="189"/>
      <c r="D3" s="190"/>
    </row>
    <row r="4" spans="1:4" ht="15.5" x14ac:dyDescent="0.35">
      <c r="A4" s="126" t="s">
        <v>88</v>
      </c>
      <c r="B4" s="116"/>
      <c r="C4" s="116" t="s">
        <v>89</v>
      </c>
      <c r="D4" s="117"/>
    </row>
    <row r="5" spans="1:4" ht="49.5" customHeight="1" x14ac:dyDescent="0.35">
      <c r="A5" s="279" t="s">
        <v>385</v>
      </c>
      <c r="B5" s="280"/>
      <c r="C5" s="212" t="s">
        <v>239</v>
      </c>
      <c r="D5" s="213"/>
    </row>
    <row r="6" spans="1:4" ht="66" customHeight="1" x14ac:dyDescent="0.35">
      <c r="A6" s="272" t="s">
        <v>384</v>
      </c>
      <c r="B6" s="273"/>
      <c r="C6" s="254"/>
      <c r="D6" s="251"/>
    </row>
    <row r="7" spans="1:4" ht="80.25" customHeight="1" x14ac:dyDescent="0.35">
      <c r="A7" s="272" t="s">
        <v>436</v>
      </c>
      <c r="B7" s="273"/>
      <c r="C7" s="38"/>
      <c r="D7" s="39"/>
    </row>
    <row r="8" spans="1:4" ht="37.5" customHeight="1" x14ac:dyDescent="0.35">
      <c r="A8" s="272"/>
      <c r="B8" s="273"/>
      <c r="C8" s="274"/>
      <c r="D8" s="275"/>
    </row>
    <row r="9" spans="1:4" ht="64.5" customHeight="1" x14ac:dyDescent="0.35">
      <c r="A9" s="241" t="s">
        <v>240</v>
      </c>
      <c r="B9" s="242"/>
      <c r="C9" s="242"/>
      <c r="D9" s="243"/>
    </row>
    <row r="10" spans="1:4" ht="309.75" customHeight="1" thickBot="1" x14ac:dyDescent="0.4">
      <c r="A10" s="276" t="s">
        <v>437</v>
      </c>
      <c r="B10" s="277"/>
      <c r="C10" s="277"/>
      <c r="D10" s="278"/>
    </row>
    <row r="11" spans="1:4" ht="16" thickBot="1" x14ac:dyDescent="0.4">
      <c r="A11" s="136" t="s">
        <v>105</v>
      </c>
      <c r="B11" s="137"/>
      <c r="C11" s="137"/>
      <c r="D11" s="138"/>
    </row>
    <row r="12" spans="1:4" x14ac:dyDescent="0.35">
      <c r="A12" s="132" t="s">
        <v>106</v>
      </c>
      <c r="B12" s="133"/>
      <c r="C12" s="133"/>
      <c r="D12" s="134"/>
    </row>
    <row r="13" spans="1:4" ht="137.25" customHeight="1" x14ac:dyDescent="0.35">
      <c r="A13" s="153" t="s">
        <v>107</v>
      </c>
      <c r="B13" s="154"/>
      <c r="C13" s="154"/>
      <c r="D13" s="155"/>
    </row>
    <row r="14" spans="1:4" x14ac:dyDescent="0.35">
      <c r="A14" s="2" t="s">
        <v>108</v>
      </c>
      <c r="B14" s="135" t="s">
        <v>241</v>
      </c>
      <c r="C14" s="135"/>
      <c r="D14" s="29" t="s">
        <v>442</v>
      </c>
    </row>
    <row r="15" spans="1:4" ht="141.75" customHeight="1" x14ac:dyDescent="0.35">
      <c r="A15" s="156"/>
      <c r="B15" s="167" t="s">
        <v>462</v>
      </c>
      <c r="C15" s="167"/>
      <c r="D15" s="168"/>
    </row>
    <row r="16" spans="1:4" x14ac:dyDescent="0.35">
      <c r="A16" s="157"/>
      <c r="B16" s="159" t="s">
        <v>113</v>
      </c>
      <c r="C16" s="160"/>
      <c r="D16" s="30" t="s">
        <v>443</v>
      </c>
    </row>
    <row r="17" spans="1:4" ht="149.25" customHeight="1" thickBot="1" x14ac:dyDescent="0.4">
      <c r="A17" s="158"/>
      <c r="B17" s="161" t="s">
        <v>114</v>
      </c>
      <c r="C17" s="162"/>
      <c r="D17" s="163"/>
    </row>
    <row r="18" spans="1:4" x14ac:dyDescent="0.35">
      <c r="A18" s="174" t="s">
        <v>131</v>
      </c>
      <c r="B18" s="175"/>
      <c r="C18" s="175"/>
      <c r="D18" s="176"/>
    </row>
    <row r="19" spans="1:4" ht="16" thickBot="1" x14ac:dyDescent="0.4">
      <c r="A19" s="178" t="s">
        <v>132</v>
      </c>
      <c r="B19" s="179"/>
      <c r="C19" s="179"/>
      <c r="D19" s="20" t="str">
        <f>IF(D14="","TBD",IF(OR(D14="Yes",D14="N/A"),"In Place","Not in Place"))</f>
        <v>In Place</v>
      </c>
    </row>
    <row r="20" spans="1:4" x14ac:dyDescent="0.35">
      <c r="A20" s="174" t="s">
        <v>133</v>
      </c>
      <c r="B20" s="175"/>
      <c r="C20" s="175"/>
      <c r="D20" s="176"/>
    </row>
    <row r="21" spans="1:4" ht="175.5" customHeight="1" thickBot="1" x14ac:dyDescent="0.4">
      <c r="A21" s="177" t="s">
        <v>134</v>
      </c>
      <c r="B21" s="162"/>
      <c r="C21" s="162"/>
      <c r="D21" s="163"/>
    </row>
  </sheetData>
  <mergeCells count="26">
    <mergeCell ref="A12:D12"/>
    <mergeCell ref="A13:D13"/>
    <mergeCell ref="B14:C14"/>
    <mergeCell ref="B1:D1"/>
    <mergeCell ref="A2:D2"/>
    <mergeCell ref="A3:D3"/>
    <mergeCell ref="A4:B4"/>
    <mergeCell ref="C4:D4"/>
    <mergeCell ref="A5:B5"/>
    <mergeCell ref="C5:D5"/>
    <mergeCell ref="A20:D20"/>
    <mergeCell ref="A21:D21"/>
    <mergeCell ref="A8:B8"/>
    <mergeCell ref="A6:B6"/>
    <mergeCell ref="C6:D6"/>
    <mergeCell ref="C8:D8"/>
    <mergeCell ref="A7:B7"/>
    <mergeCell ref="A15:A17"/>
    <mergeCell ref="B15:D15"/>
    <mergeCell ref="B16:C16"/>
    <mergeCell ref="B17:D17"/>
    <mergeCell ref="A18:D18"/>
    <mergeCell ref="A19:C19"/>
    <mergeCell ref="A9:D9"/>
    <mergeCell ref="A10:D10"/>
    <mergeCell ref="A11:D11"/>
  </mergeCells>
  <conditionalFormatting sqref="B17">
    <cfRule type="expression" dxfId="92" priority="2">
      <formula>D16="No"</formula>
    </cfRule>
  </conditionalFormatting>
  <conditionalFormatting sqref="D14">
    <cfRule type="cellIs" dxfId="91" priority="1" operator="equal">
      <formula>"N/A"</formula>
    </cfRule>
    <cfRule type="cellIs" dxfId="90" priority="5" operator="equal">
      <formula>"No"</formula>
    </cfRule>
    <cfRule type="cellIs" dxfId="89" priority="6" operator="equal">
      <formula>"Yes"</formula>
    </cfRule>
  </conditionalFormatting>
  <conditionalFormatting sqref="D19">
    <cfRule type="cellIs" dxfId="88" priority="3" operator="equal">
      <formula>"Not in Place"</formula>
    </cfRule>
    <cfRule type="cellIs" dxfId="87" priority="4" operator="equal">
      <formula>"In Place"</formula>
    </cfRule>
  </conditionalFormatting>
  <dataValidations count="2">
    <dataValidation type="list" allowBlank="1" showInputMessage="1" showErrorMessage="1" sqref="D16" xr:uid="{32FAAB3C-786D-4824-BE0A-72A4865AA289}">
      <formula1>"Yes,No"</formula1>
    </dataValidation>
    <dataValidation type="list" allowBlank="1" showInputMessage="1" showErrorMessage="1" sqref="D14" xr:uid="{326735A8-4B21-4382-95F1-8A33F44861FB}">
      <formula1>"Yes,No,N/A"</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D19"/>
  <sheetViews>
    <sheetView topLeftCell="A11" zoomScale="90" zoomScaleNormal="90" workbookViewId="0">
      <selection activeCell="B13" sqref="B13:D13"/>
    </sheetView>
  </sheetViews>
  <sheetFormatPr defaultRowHeight="14.5" x14ac:dyDescent="0.35"/>
  <cols>
    <col min="1" max="1" width="16.81640625" customWidth="1"/>
    <col min="2" max="3" width="75.81640625" customWidth="1"/>
    <col min="4" max="4" width="16.81640625" customWidth="1"/>
  </cols>
  <sheetData>
    <row r="1" spans="1:4" ht="20.5" thickBot="1" x14ac:dyDescent="0.4">
      <c r="A1" s="63">
        <v>2.9</v>
      </c>
      <c r="B1" s="139" t="s">
        <v>242</v>
      </c>
      <c r="C1" s="139"/>
      <c r="D1" s="140"/>
    </row>
    <row r="2" spans="1:4" ht="16" thickBot="1" x14ac:dyDescent="0.4">
      <c r="A2" s="113" t="s">
        <v>86</v>
      </c>
      <c r="B2" s="114"/>
      <c r="C2" s="114"/>
      <c r="D2" s="115"/>
    </row>
    <row r="3" spans="1:4" ht="37.75" customHeight="1" x14ac:dyDescent="0.35">
      <c r="A3" s="216" t="s">
        <v>243</v>
      </c>
      <c r="B3" s="217"/>
      <c r="C3" s="217"/>
      <c r="D3" s="218"/>
    </row>
    <row r="4" spans="1:4" ht="15.5" x14ac:dyDescent="0.35">
      <c r="A4" s="219" t="s">
        <v>88</v>
      </c>
      <c r="B4" s="220"/>
      <c r="C4" s="220" t="s">
        <v>89</v>
      </c>
      <c r="D4" s="221"/>
    </row>
    <row r="5" spans="1:4" x14ac:dyDescent="0.35">
      <c r="A5" s="211" t="s">
        <v>386</v>
      </c>
      <c r="B5" s="212"/>
      <c r="C5" s="252" t="s">
        <v>244</v>
      </c>
      <c r="D5" s="253"/>
    </row>
    <row r="6" spans="1:4" ht="94" customHeight="1" x14ac:dyDescent="0.35">
      <c r="A6" s="261" t="s">
        <v>387</v>
      </c>
      <c r="B6" s="281"/>
      <c r="C6" s="214"/>
      <c r="D6" s="215"/>
    </row>
    <row r="7" spans="1:4" ht="37.75" customHeight="1" x14ac:dyDescent="0.35">
      <c r="A7" s="241" t="s">
        <v>245</v>
      </c>
      <c r="B7" s="242"/>
      <c r="C7" s="242"/>
      <c r="D7" s="243"/>
    </row>
    <row r="8" spans="1:4" ht="66" customHeight="1" thickBot="1" x14ac:dyDescent="0.4">
      <c r="A8" s="276" t="s">
        <v>388</v>
      </c>
      <c r="B8" s="277"/>
      <c r="C8" s="277"/>
      <c r="D8" s="278"/>
    </row>
    <row r="9" spans="1:4" ht="16" thickBot="1" x14ac:dyDescent="0.4">
      <c r="A9" s="136" t="s">
        <v>105</v>
      </c>
      <c r="B9" s="137"/>
      <c r="C9" s="137"/>
      <c r="D9" s="138"/>
    </row>
    <row r="10" spans="1:4" x14ac:dyDescent="0.35">
      <c r="A10" s="132" t="s">
        <v>106</v>
      </c>
      <c r="B10" s="133"/>
      <c r="C10" s="133"/>
      <c r="D10" s="134"/>
    </row>
    <row r="11" spans="1:4" ht="137.25" customHeight="1" x14ac:dyDescent="0.35">
      <c r="A11" s="153" t="s">
        <v>107</v>
      </c>
      <c r="B11" s="154"/>
      <c r="C11" s="154"/>
      <c r="D11" s="155"/>
    </row>
    <row r="12" spans="1:4" x14ac:dyDescent="0.35">
      <c r="A12" s="2" t="s">
        <v>108</v>
      </c>
      <c r="B12" s="135" t="s">
        <v>246</v>
      </c>
      <c r="C12" s="135"/>
      <c r="D12" s="29" t="s">
        <v>442</v>
      </c>
    </row>
    <row r="13" spans="1:4" ht="171.75" customHeight="1" x14ac:dyDescent="0.35">
      <c r="A13" s="156"/>
      <c r="B13" s="167" t="s">
        <v>463</v>
      </c>
      <c r="C13" s="167"/>
      <c r="D13" s="168"/>
    </row>
    <row r="14" spans="1:4" x14ac:dyDescent="0.35">
      <c r="A14" s="157"/>
      <c r="B14" s="159" t="s">
        <v>113</v>
      </c>
      <c r="C14" s="160"/>
      <c r="D14" s="30" t="s">
        <v>443</v>
      </c>
    </row>
    <row r="15" spans="1:4" ht="15" thickBot="1" x14ac:dyDescent="0.4">
      <c r="A15" s="158"/>
      <c r="B15" s="161" t="s">
        <v>114</v>
      </c>
      <c r="C15" s="162"/>
      <c r="D15" s="163"/>
    </row>
    <row r="16" spans="1:4" x14ac:dyDescent="0.35">
      <c r="A16" s="174" t="s">
        <v>131</v>
      </c>
      <c r="B16" s="175"/>
      <c r="C16" s="175"/>
      <c r="D16" s="176"/>
    </row>
    <row r="17" spans="1:4" ht="16" thickBot="1" x14ac:dyDescent="0.4">
      <c r="A17" s="178" t="s">
        <v>132</v>
      </c>
      <c r="B17" s="179"/>
      <c r="C17" s="179"/>
      <c r="D17" s="20" t="str">
        <f>IF(D12="","TBD",IF(OR(D12="Yes",D12="N/A"),"In Place","Not in Place"))</f>
        <v>In Place</v>
      </c>
    </row>
    <row r="18" spans="1:4" x14ac:dyDescent="0.35">
      <c r="A18" s="174" t="s">
        <v>133</v>
      </c>
      <c r="B18" s="175"/>
      <c r="C18" s="175"/>
      <c r="D18" s="176"/>
    </row>
    <row r="19" spans="1:4" ht="15" thickBot="1" x14ac:dyDescent="0.4">
      <c r="A19" s="177" t="s">
        <v>134</v>
      </c>
      <c r="B19" s="162"/>
      <c r="C19" s="162"/>
      <c r="D19" s="163"/>
    </row>
  </sheetData>
  <mergeCells count="23">
    <mergeCell ref="A16:D16"/>
    <mergeCell ref="A17:C17"/>
    <mergeCell ref="A18:D18"/>
    <mergeCell ref="A19:D19"/>
    <mergeCell ref="A10:D10"/>
    <mergeCell ref="A11:D11"/>
    <mergeCell ref="B12:C12"/>
    <mergeCell ref="A13:A15"/>
    <mergeCell ref="B13:D13"/>
    <mergeCell ref="B14:C14"/>
    <mergeCell ref="B15:D15"/>
    <mergeCell ref="A9:D9"/>
    <mergeCell ref="A6:B6"/>
    <mergeCell ref="C6:D6"/>
    <mergeCell ref="A7:D7"/>
    <mergeCell ref="A8:D8"/>
    <mergeCell ref="A5:B5"/>
    <mergeCell ref="C5:D5"/>
    <mergeCell ref="B1:D1"/>
    <mergeCell ref="A2:D2"/>
    <mergeCell ref="A3:D3"/>
    <mergeCell ref="A4:B4"/>
    <mergeCell ref="C4:D4"/>
  </mergeCells>
  <conditionalFormatting sqref="B15">
    <cfRule type="expression" dxfId="86" priority="2">
      <formula>D14="No"</formula>
    </cfRule>
  </conditionalFormatting>
  <conditionalFormatting sqref="D12">
    <cfRule type="cellIs" dxfId="85" priority="1" operator="equal">
      <formula>"N/A"</formula>
    </cfRule>
    <cfRule type="cellIs" dxfId="84" priority="5" operator="equal">
      <formula>"No"</formula>
    </cfRule>
    <cfRule type="cellIs" dxfId="83" priority="6" operator="equal">
      <formula>"Yes"</formula>
    </cfRule>
  </conditionalFormatting>
  <conditionalFormatting sqref="D17">
    <cfRule type="cellIs" dxfId="82" priority="3" operator="equal">
      <formula>"Not in Place"</formula>
    </cfRule>
    <cfRule type="cellIs" dxfId="81" priority="4" operator="equal">
      <formula>"In Place"</formula>
    </cfRule>
  </conditionalFormatting>
  <dataValidations count="2">
    <dataValidation type="list" allowBlank="1" showInputMessage="1" showErrorMessage="1" sqref="D12" xr:uid="{00000000-0002-0000-0D00-000000000000}">
      <formula1>"Yes,No,N/A"</formula1>
    </dataValidation>
    <dataValidation type="list" allowBlank="1" showInputMessage="1" showErrorMessage="1" sqref="D14" xr:uid="{00000000-0002-0000-0D00-000001000000}">
      <formula1>"Yes,No"</formula1>
    </dataValidation>
  </dataValidations>
  <pageMargins left="0.7" right="0.7" top="0.75" bottom="0.75" header="0.3" footer="0.3"/>
  <pageSetup orientation="portrait" horizontalDpi="90" verticalDpi="9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00000"/>
  </sheetPr>
  <dimension ref="A1:D22"/>
  <sheetViews>
    <sheetView workbookViewId="0"/>
  </sheetViews>
  <sheetFormatPr defaultRowHeight="14.5" x14ac:dyDescent="0.35"/>
  <cols>
    <col min="1" max="1" width="13.7265625" customWidth="1"/>
    <col min="2" max="2" width="25.81640625" customWidth="1"/>
    <col min="3" max="3" width="90.26953125" customWidth="1"/>
    <col min="4" max="4" width="39.453125" customWidth="1"/>
  </cols>
  <sheetData>
    <row r="1" spans="1:4" ht="21" customHeight="1" thickBot="1" x14ac:dyDescent="0.4">
      <c r="A1" s="63" t="s">
        <v>70</v>
      </c>
      <c r="B1" s="139" t="s">
        <v>247</v>
      </c>
      <c r="C1" s="139"/>
      <c r="D1" s="140"/>
    </row>
    <row r="2" spans="1:4" ht="16" thickBot="1" x14ac:dyDescent="0.4">
      <c r="A2" s="113" t="s">
        <v>86</v>
      </c>
      <c r="B2" s="114"/>
      <c r="C2" s="114"/>
      <c r="D2" s="115"/>
    </row>
    <row r="3" spans="1:4" ht="41.25" customHeight="1" x14ac:dyDescent="0.35">
      <c r="A3" s="216" t="s">
        <v>248</v>
      </c>
      <c r="B3" s="217"/>
      <c r="C3" s="217"/>
      <c r="D3" s="218"/>
    </row>
    <row r="4" spans="1:4" ht="15.5" x14ac:dyDescent="0.35">
      <c r="A4" s="219" t="s">
        <v>88</v>
      </c>
      <c r="B4" s="220"/>
      <c r="C4" s="220" t="s">
        <v>89</v>
      </c>
      <c r="D4" s="221"/>
    </row>
    <row r="5" spans="1:4" x14ac:dyDescent="0.35">
      <c r="A5" s="211" t="s">
        <v>90</v>
      </c>
      <c r="B5" s="212"/>
      <c r="C5" s="212" t="s">
        <v>203</v>
      </c>
      <c r="D5" s="213"/>
    </row>
    <row r="6" spans="1:4" x14ac:dyDescent="0.35">
      <c r="A6" s="151" t="s">
        <v>92</v>
      </c>
      <c r="B6" s="152"/>
      <c r="C6" s="214" t="s">
        <v>249</v>
      </c>
      <c r="D6" s="215"/>
    </row>
    <row r="7" spans="1:4" x14ac:dyDescent="0.35">
      <c r="A7" s="151" t="s">
        <v>94</v>
      </c>
      <c r="B7" s="152"/>
      <c r="C7" s="214"/>
      <c r="D7" s="215"/>
    </row>
    <row r="8" spans="1:4" x14ac:dyDescent="0.35">
      <c r="A8" s="151" t="s">
        <v>96</v>
      </c>
      <c r="B8" s="152"/>
      <c r="C8" s="214"/>
      <c r="D8" s="215"/>
    </row>
    <row r="9" spans="1:4" x14ac:dyDescent="0.35">
      <c r="A9" s="148" t="s">
        <v>250</v>
      </c>
      <c r="B9" s="149"/>
      <c r="C9" s="149"/>
      <c r="D9" s="225"/>
    </row>
    <row r="10" spans="1:4" ht="57.75" customHeight="1" x14ac:dyDescent="0.35">
      <c r="A10" s="241" t="s">
        <v>251</v>
      </c>
      <c r="B10" s="242"/>
      <c r="C10" s="242"/>
      <c r="D10" s="243"/>
    </row>
    <row r="11" spans="1:4" ht="103.5" customHeight="1" thickBot="1" x14ac:dyDescent="0.4">
      <c r="A11" s="276" t="s">
        <v>252</v>
      </c>
      <c r="B11" s="277"/>
      <c r="C11" s="277"/>
      <c r="D11" s="278"/>
    </row>
    <row r="12" spans="1:4" ht="16" thickBot="1" x14ac:dyDescent="0.4">
      <c r="A12" s="136" t="s">
        <v>105</v>
      </c>
      <c r="B12" s="137"/>
      <c r="C12" s="137"/>
      <c r="D12" s="138"/>
    </row>
    <row r="13" spans="1:4" x14ac:dyDescent="0.35">
      <c r="A13" s="132" t="s">
        <v>106</v>
      </c>
      <c r="B13" s="133"/>
      <c r="C13" s="133"/>
      <c r="D13" s="134"/>
    </row>
    <row r="14" spans="1:4" ht="150.75" customHeight="1" x14ac:dyDescent="0.35">
      <c r="A14" s="153" t="s">
        <v>107</v>
      </c>
      <c r="B14" s="154"/>
      <c r="C14" s="154"/>
      <c r="D14" s="155"/>
    </row>
    <row r="15" spans="1:4" ht="48.75" customHeight="1" x14ac:dyDescent="0.35">
      <c r="A15" s="2" t="s">
        <v>108</v>
      </c>
      <c r="B15" s="135" t="s">
        <v>253</v>
      </c>
      <c r="C15" s="135"/>
      <c r="D15" s="29"/>
    </row>
    <row r="16" spans="1:4" ht="48" customHeight="1" x14ac:dyDescent="0.35">
      <c r="A16" s="156"/>
      <c r="B16" s="167" t="s">
        <v>112</v>
      </c>
      <c r="C16" s="167"/>
      <c r="D16" s="168"/>
    </row>
    <row r="17" spans="1:4" x14ac:dyDescent="0.35">
      <c r="A17" s="157"/>
      <c r="B17" s="159" t="s">
        <v>113</v>
      </c>
      <c r="C17" s="160"/>
      <c r="D17" s="30"/>
    </row>
    <row r="18" spans="1:4" ht="49.5" customHeight="1" thickBot="1" x14ac:dyDescent="0.4">
      <c r="A18" s="158"/>
      <c r="B18" s="161" t="s">
        <v>114</v>
      </c>
      <c r="C18" s="162"/>
      <c r="D18" s="163"/>
    </row>
    <row r="19" spans="1:4" x14ac:dyDescent="0.35">
      <c r="A19" s="174" t="s">
        <v>131</v>
      </c>
      <c r="B19" s="175"/>
      <c r="C19" s="175"/>
      <c r="D19" s="176"/>
    </row>
    <row r="20" spans="1:4" ht="16" thickBot="1" x14ac:dyDescent="0.4">
      <c r="A20" s="178" t="s">
        <v>132</v>
      </c>
      <c r="B20" s="179"/>
      <c r="C20" s="179"/>
      <c r="D20" s="20" t="str">
        <f>IF(OR('User Data'!B4="B",'User Data'!B4="A4"),"Not Applicable",IF(D15="","TBD",IF(OR(D15="Yes",D15="N/A"),"In Place","Not in Place")))</f>
        <v>Not Applicable</v>
      </c>
    </row>
    <row r="21" spans="1:4" x14ac:dyDescent="0.35">
      <c r="A21" s="174" t="s">
        <v>133</v>
      </c>
      <c r="B21" s="175"/>
      <c r="C21" s="175"/>
      <c r="D21" s="176"/>
    </row>
    <row r="22" spans="1:4" ht="94.5" customHeight="1" thickBot="1" x14ac:dyDescent="0.4">
      <c r="A22" s="177" t="s">
        <v>134</v>
      </c>
      <c r="B22" s="162"/>
      <c r="C22" s="162"/>
      <c r="D22" s="163"/>
    </row>
  </sheetData>
  <mergeCells count="29">
    <mergeCell ref="A5:B5"/>
    <mergeCell ref="C5:D5"/>
    <mergeCell ref="B1:D1"/>
    <mergeCell ref="A2:D2"/>
    <mergeCell ref="A3:D3"/>
    <mergeCell ref="A4:B4"/>
    <mergeCell ref="C4:D4"/>
    <mergeCell ref="A9:B9"/>
    <mergeCell ref="C9:D9"/>
    <mergeCell ref="A10:D10"/>
    <mergeCell ref="A11:D11"/>
    <mergeCell ref="A6:B6"/>
    <mergeCell ref="C6:D6"/>
    <mergeCell ref="A7:B7"/>
    <mergeCell ref="C7:D7"/>
    <mergeCell ref="A8:B8"/>
    <mergeCell ref="C8:D8"/>
    <mergeCell ref="A19:D19"/>
    <mergeCell ref="A20:C20"/>
    <mergeCell ref="A21:D21"/>
    <mergeCell ref="A22:D22"/>
    <mergeCell ref="A12:D12"/>
    <mergeCell ref="A13:D13"/>
    <mergeCell ref="B15:C15"/>
    <mergeCell ref="A16:A18"/>
    <mergeCell ref="B16:D16"/>
    <mergeCell ref="B17:C17"/>
    <mergeCell ref="B18:D18"/>
    <mergeCell ref="A14:D14"/>
  </mergeCells>
  <conditionalFormatting sqref="A3:D11 A15:D18 A20:D20 A22:D22">
    <cfRule type="expression" dxfId="80" priority="1">
      <formula>$D$20="Not Applicable"</formula>
    </cfRule>
  </conditionalFormatting>
  <conditionalFormatting sqref="B18">
    <cfRule type="expression" dxfId="79" priority="3">
      <formula>D17="No"</formula>
    </cfRule>
  </conditionalFormatting>
  <conditionalFormatting sqref="D15">
    <cfRule type="cellIs" dxfId="78" priority="2" operator="equal">
      <formula>"N/A"</formula>
    </cfRule>
    <cfRule type="cellIs" dxfId="77" priority="6" operator="equal">
      <formula>"No"</formula>
    </cfRule>
    <cfRule type="cellIs" dxfId="76" priority="7" operator="equal">
      <formula>"Yes"</formula>
    </cfRule>
  </conditionalFormatting>
  <conditionalFormatting sqref="D20">
    <cfRule type="cellIs" dxfId="75" priority="4" operator="equal">
      <formula>"Not in Place"</formula>
    </cfRule>
    <cfRule type="cellIs" dxfId="74" priority="5" operator="equal">
      <formula>"In Place"</formula>
    </cfRule>
  </conditionalFormatting>
  <dataValidations count="2">
    <dataValidation type="list" allowBlank="1" showInputMessage="1" showErrorMessage="1" sqref="D17" xr:uid="{00000000-0002-0000-0E00-000000000000}">
      <formula1>"Yes,No"</formula1>
    </dataValidation>
    <dataValidation type="list" allowBlank="1" showInputMessage="1" showErrorMessage="1" sqref="D15" xr:uid="{00000000-0002-0000-0E00-000001000000}">
      <formula1>"Yes,No,N/A"</formula1>
    </dataValidation>
  </dataValidations>
  <pageMargins left="0.7" right="0.7" top="0.75" bottom="0.75" header="0.3" footer="0.3"/>
  <pageSetup paperSize="9" orientation="portrait" r:id="rId1"/>
  <ignoredErrors>
    <ignoredError sqref="A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D25"/>
  <sheetViews>
    <sheetView topLeftCell="A15" zoomScaleNormal="100" workbookViewId="0">
      <selection activeCell="B19" sqref="B19:D19"/>
    </sheetView>
  </sheetViews>
  <sheetFormatPr defaultRowHeight="14.5" x14ac:dyDescent="0.35"/>
  <cols>
    <col min="1" max="1" width="16.7265625" customWidth="1"/>
    <col min="2" max="3" width="75.7265625" customWidth="1"/>
    <col min="4" max="4" width="16.7265625" customWidth="1"/>
  </cols>
  <sheetData>
    <row r="1" spans="1:4" ht="20.5" thickBot="1" x14ac:dyDescent="0.4">
      <c r="A1" s="63">
        <v>3.1</v>
      </c>
      <c r="B1" s="139" t="s">
        <v>254</v>
      </c>
      <c r="C1" s="139"/>
      <c r="D1" s="140"/>
    </row>
    <row r="2" spans="1:4" ht="16" thickBot="1" x14ac:dyDescent="0.4">
      <c r="A2" s="113" t="s">
        <v>86</v>
      </c>
      <c r="B2" s="114"/>
      <c r="C2" s="114"/>
      <c r="D2" s="115"/>
    </row>
    <row r="3" spans="1:4" ht="37.75" customHeight="1" x14ac:dyDescent="0.35">
      <c r="A3" s="188" t="s">
        <v>255</v>
      </c>
      <c r="B3" s="189"/>
      <c r="C3" s="189"/>
      <c r="D3" s="190"/>
    </row>
    <row r="4" spans="1:4" ht="15.5" x14ac:dyDescent="0.35">
      <c r="A4" s="208" t="s">
        <v>88</v>
      </c>
      <c r="B4" s="209"/>
      <c r="C4" s="209" t="s">
        <v>89</v>
      </c>
      <c r="D4" s="210"/>
    </row>
    <row r="5" spans="1:4" ht="15.5" x14ac:dyDescent="0.35">
      <c r="A5" s="204" t="s">
        <v>256</v>
      </c>
      <c r="B5" s="205"/>
      <c r="C5" s="47"/>
      <c r="D5" s="48"/>
    </row>
    <row r="6" spans="1:4" ht="13.5" customHeight="1" x14ac:dyDescent="0.35">
      <c r="A6" s="284" t="s">
        <v>101</v>
      </c>
      <c r="B6" s="271"/>
      <c r="C6" s="206" t="s">
        <v>143</v>
      </c>
      <c r="D6" s="207"/>
    </row>
    <row r="7" spans="1:4" ht="31.5" customHeight="1" x14ac:dyDescent="0.35">
      <c r="A7" s="151" t="s">
        <v>257</v>
      </c>
      <c r="B7" s="194"/>
      <c r="C7" s="195" t="s">
        <v>258</v>
      </c>
      <c r="D7" s="196"/>
    </row>
    <row r="8" spans="1:4" ht="31.5" customHeight="1" x14ac:dyDescent="0.35">
      <c r="A8" s="194" t="s">
        <v>389</v>
      </c>
      <c r="B8" s="152"/>
      <c r="C8" s="33"/>
      <c r="D8" s="34"/>
    </row>
    <row r="9" spans="1:4" ht="25.5" customHeight="1" x14ac:dyDescent="0.35">
      <c r="A9" s="285" t="s">
        <v>259</v>
      </c>
      <c r="B9" s="286"/>
      <c r="C9" s="195"/>
      <c r="D9" s="196"/>
    </row>
    <row r="10" spans="1:4" ht="25.5" customHeight="1" x14ac:dyDescent="0.35">
      <c r="A10" s="151" t="s">
        <v>260</v>
      </c>
      <c r="B10" s="152"/>
      <c r="C10" s="260"/>
      <c r="D10" s="201"/>
    </row>
    <row r="11" spans="1:4" ht="19.5" customHeight="1" x14ac:dyDescent="0.35">
      <c r="A11" s="214" t="s">
        <v>261</v>
      </c>
      <c r="B11" s="152"/>
      <c r="C11" s="51"/>
      <c r="D11" s="43"/>
    </row>
    <row r="12" spans="1:4" ht="31.5" customHeight="1" x14ac:dyDescent="0.35">
      <c r="A12" s="282" t="s">
        <v>262</v>
      </c>
      <c r="B12" s="262"/>
      <c r="C12" s="283"/>
      <c r="D12" s="247"/>
    </row>
    <row r="13" spans="1:4" ht="37.75" customHeight="1" x14ac:dyDescent="0.35">
      <c r="A13" s="141" t="s">
        <v>263</v>
      </c>
      <c r="B13" s="142"/>
      <c r="C13" s="142"/>
      <c r="D13" s="143"/>
    </row>
    <row r="14" spans="1:4" ht="37.75" customHeight="1" thickBot="1" x14ac:dyDescent="0.4">
      <c r="A14" s="118" t="s">
        <v>264</v>
      </c>
      <c r="B14" s="119"/>
      <c r="C14" s="119"/>
      <c r="D14" s="120"/>
    </row>
    <row r="15" spans="1:4" ht="16" thickBot="1" x14ac:dyDescent="0.4">
      <c r="A15" s="136" t="s">
        <v>105</v>
      </c>
      <c r="B15" s="137"/>
      <c r="C15" s="137"/>
      <c r="D15" s="138"/>
    </row>
    <row r="16" spans="1:4" x14ac:dyDescent="0.35">
      <c r="A16" s="132" t="s">
        <v>106</v>
      </c>
      <c r="B16" s="133"/>
      <c r="C16" s="133"/>
      <c r="D16" s="134"/>
    </row>
    <row r="17" spans="1:4" ht="150.75" customHeight="1" x14ac:dyDescent="0.35">
      <c r="A17" s="153" t="s">
        <v>107</v>
      </c>
      <c r="B17" s="154"/>
      <c r="C17" s="154"/>
      <c r="D17" s="155"/>
    </row>
    <row r="18" spans="1:4" x14ac:dyDescent="0.35">
      <c r="A18" s="2" t="s">
        <v>108</v>
      </c>
      <c r="B18" s="135" t="s">
        <v>265</v>
      </c>
      <c r="C18" s="135"/>
      <c r="D18" s="29" t="s">
        <v>442</v>
      </c>
    </row>
    <row r="19" spans="1:4" ht="183.75" customHeight="1" x14ac:dyDescent="0.35">
      <c r="A19" s="156"/>
      <c r="B19" s="167" t="s">
        <v>464</v>
      </c>
      <c r="C19" s="167"/>
      <c r="D19" s="168"/>
    </row>
    <row r="20" spans="1:4" x14ac:dyDescent="0.35">
      <c r="A20" s="157"/>
      <c r="B20" s="159" t="s">
        <v>113</v>
      </c>
      <c r="C20" s="160"/>
      <c r="D20" s="30" t="s">
        <v>443</v>
      </c>
    </row>
    <row r="21" spans="1:4" ht="182.25" customHeight="1" thickBot="1" x14ac:dyDescent="0.4">
      <c r="A21" s="158"/>
      <c r="B21" s="161" t="s">
        <v>114</v>
      </c>
      <c r="C21" s="162"/>
      <c r="D21" s="163"/>
    </row>
    <row r="22" spans="1:4" x14ac:dyDescent="0.35">
      <c r="A22" s="174" t="s">
        <v>131</v>
      </c>
      <c r="B22" s="175"/>
      <c r="C22" s="175"/>
      <c r="D22" s="176"/>
    </row>
    <row r="23" spans="1:4" ht="16" thickBot="1" x14ac:dyDescent="0.4">
      <c r="A23" s="178" t="s">
        <v>132</v>
      </c>
      <c r="B23" s="179"/>
      <c r="C23" s="179"/>
      <c r="D23" s="20" t="str">
        <f>IF(D18="","TBD",IF(OR(D18="Yes",D18="N/A"),"In Place","Not in Place"))</f>
        <v>In Place</v>
      </c>
    </row>
    <row r="24" spans="1:4" x14ac:dyDescent="0.35">
      <c r="A24" s="174" t="s">
        <v>133</v>
      </c>
      <c r="B24" s="175"/>
      <c r="C24" s="175"/>
      <c r="D24" s="176"/>
    </row>
    <row r="25" spans="1:4" ht="145.5" customHeight="1" thickBot="1" x14ac:dyDescent="0.4">
      <c r="A25" s="177" t="s">
        <v>134</v>
      </c>
      <c r="B25" s="162"/>
      <c r="C25" s="162"/>
      <c r="D25" s="163"/>
    </row>
  </sheetData>
  <mergeCells count="32">
    <mergeCell ref="A5:B5"/>
    <mergeCell ref="C6:D6"/>
    <mergeCell ref="C7:D7"/>
    <mergeCell ref="A12:B12"/>
    <mergeCell ref="A10:B10"/>
    <mergeCell ref="C10:D10"/>
    <mergeCell ref="C12:D12"/>
    <mergeCell ref="A6:B6"/>
    <mergeCell ref="A9:B9"/>
    <mergeCell ref="A11:B11"/>
    <mergeCell ref="A7:B7"/>
    <mergeCell ref="C9:D9"/>
    <mergeCell ref="A8:B8"/>
    <mergeCell ref="B1:D1"/>
    <mergeCell ref="A2:D2"/>
    <mergeCell ref="A3:D3"/>
    <mergeCell ref="A4:B4"/>
    <mergeCell ref="C4:D4"/>
    <mergeCell ref="A13:D13"/>
    <mergeCell ref="A14:D14"/>
    <mergeCell ref="A24:D24"/>
    <mergeCell ref="A25:D25"/>
    <mergeCell ref="A15:D15"/>
    <mergeCell ref="A16:D16"/>
    <mergeCell ref="B18:C18"/>
    <mergeCell ref="A19:A21"/>
    <mergeCell ref="B19:D19"/>
    <mergeCell ref="B20:C20"/>
    <mergeCell ref="B21:D21"/>
    <mergeCell ref="A17:D17"/>
    <mergeCell ref="A22:D22"/>
    <mergeCell ref="A23:C23"/>
  </mergeCells>
  <conditionalFormatting sqref="B21">
    <cfRule type="expression" dxfId="73" priority="2">
      <formula>D20="No"</formula>
    </cfRule>
  </conditionalFormatting>
  <conditionalFormatting sqref="D18">
    <cfRule type="cellIs" dxfId="72" priority="1" operator="equal">
      <formula>"N/A"</formula>
    </cfRule>
    <cfRule type="cellIs" dxfId="71" priority="5" operator="equal">
      <formula>"No"</formula>
    </cfRule>
    <cfRule type="cellIs" dxfId="70" priority="6" operator="equal">
      <formula>"Yes"</formula>
    </cfRule>
  </conditionalFormatting>
  <conditionalFormatting sqref="D23">
    <cfRule type="cellIs" dxfId="69" priority="3" operator="equal">
      <formula>"Not in Place"</formula>
    </cfRule>
    <cfRule type="cellIs" dxfId="68" priority="4" operator="equal">
      <formula>"In Place"</formula>
    </cfRule>
  </conditionalFormatting>
  <dataValidations count="2">
    <dataValidation type="list" allowBlank="1" showInputMessage="1" showErrorMessage="1" sqref="D18" xr:uid="{00000000-0002-0000-0F00-000000000000}">
      <formula1>"Yes,No,N/A"</formula1>
    </dataValidation>
    <dataValidation type="list" allowBlank="1" showInputMessage="1" showErrorMessage="1" sqref="D20" xr:uid="{00000000-0002-0000-0F00-000001000000}">
      <formula1>"Yes,No"</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D27"/>
  <sheetViews>
    <sheetView topLeftCell="A20" zoomScaleNormal="100" workbookViewId="0">
      <selection activeCell="B21" sqref="B21:D21"/>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429</v>
      </c>
      <c r="B1" s="139" t="s">
        <v>266</v>
      </c>
      <c r="C1" s="139"/>
      <c r="D1" s="140"/>
    </row>
    <row r="2" spans="1:4" ht="16" thickBot="1" x14ac:dyDescent="0.4">
      <c r="A2" s="113" t="s">
        <v>86</v>
      </c>
      <c r="B2" s="114"/>
      <c r="C2" s="114"/>
      <c r="D2" s="115"/>
    </row>
    <row r="3" spans="1:4" ht="37.75" customHeight="1" x14ac:dyDescent="0.35">
      <c r="A3" s="188" t="s">
        <v>267</v>
      </c>
      <c r="B3" s="189"/>
      <c r="C3" s="189"/>
      <c r="D3" s="190"/>
    </row>
    <row r="4" spans="1:4" ht="15.5" x14ac:dyDescent="0.35">
      <c r="A4" s="126" t="s">
        <v>88</v>
      </c>
      <c r="B4" s="116"/>
      <c r="C4" s="116" t="s">
        <v>89</v>
      </c>
      <c r="D4" s="117"/>
    </row>
    <row r="5" spans="1:4" ht="15.5" x14ac:dyDescent="0.35">
      <c r="A5" s="287" t="s">
        <v>268</v>
      </c>
      <c r="B5" s="187"/>
      <c r="C5" s="74"/>
      <c r="D5" s="75"/>
    </row>
    <row r="6" spans="1:4" ht="13.5" customHeight="1" x14ac:dyDescent="0.35">
      <c r="A6" s="184" t="s">
        <v>269</v>
      </c>
      <c r="B6" s="181"/>
      <c r="C6" s="187" t="s">
        <v>270</v>
      </c>
      <c r="D6" s="128"/>
    </row>
    <row r="7" spans="1:4" ht="13.5" customHeight="1" x14ac:dyDescent="0.35">
      <c r="A7" s="147" t="s">
        <v>195</v>
      </c>
      <c r="B7" s="124"/>
      <c r="C7" s="33"/>
      <c r="D7" s="34"/>
    </row>
    <row r="8" spans="1:4" ht="13.5" customHeight="1" x14ac:dyDescent="0.35">
      <c r="A8" s="184" t="s">
        <v>271</v>
      </c>
      <c r="B8" s="181"/>
      <c r="C8" s="33"/>
      <c r="D8" s="34"/>
    </row>
    <row r="9" spans="1:4" ht="13.5" customHeight="1" x14ac:dyDescent="0.35">
      <c r="A9" s="185" t="s">
        <v>390</v>
      </c>
      <c r="B9" s="186"/>
      <c r="C9" s="33"/>
      <c r="D9" s="34"/>
    </row>
    <row r="10" spans="1:4" ht="13.5" customHeight="1" x14ac:dyDescent="0.35">
      <c r="A10" s="184" t="s">
        <v>272</v>
      </c>
      <c r="B10" s="181"/>
      <c r="C10" s="33"/>
      <c r="D10" s="34"/>
    </row>
    <row r="11" spans="1:4" ht="24.75" customHeight="1" x14ac:dyDescent="0.35">
      <c r="A11" s="184" t="s">
        <v>144</v>
      </c>
      <c r="B11" s="181"/>
      <c r="C11" s="33"/>
      <c r="D11" s="34"/>
    </row>
    <row r="12" spans="1:4" ht="26.5" customHeight="1" x14ac:dyDescent="0.35">
      <c r="A12" s="184" t="s">
        <v>273</v>
      </c>
      <c r="B12" s="181"/>
      <c r="C12" s="124"/>
      <c r="D12" s="125"/>
    </row>
    <row r="13" spans="1:4" ht="34.5" customHeight="1" x14ac:dyDescent="0.35">
      <c r="A13" s="184" t="s">
        <v>274</v>
      </c>
      <c r="B13" s="181"/>
      <c r="C13" s="42"/>
      <c r="D13" s="43"/>
    </row>
    <row r="14" spans="1:4" ht="26.5" customHeight="1" x14ac:dyDescent="0.35">
      <c r="A14" s="184" t="s">
        <v>275</v>
      </c>
      <c r="B14" s="181"/>
      <c r="C14" s="200"/>
      <c r="D14" s="201"/>
    </row>
    <row r="15" spans="1:4" ht="52.5" customHeight="1" x14ac:dyDescent="0.35">
      <c r="A15" s="121" t="s">
        <v>276</v>
      </c>
      <c r="B15" s="122"/>
      <c r="C15" s="122"/>
      <c r="D15" s="123"/>
    </row>
    <row r="16" spans="1:4" ht="97.5" customHeight="1" thickBot="1" x14ac:dyDescent="0.4">
      <c r="A16" s="118" t="s">
        <v>277</v>
      </c>
      <c r="B16" s="119"/>
      <c r="C16" s="119"/>
      <c r="D16" s="120"/>
    </row>
    <row r="17" spans="1:4" ht="16" thickBot="1" x14ac:dyDescent="0.4">
      <c r="A17" s="136" t="s">
        <v>105</v>
      </c>
      <c r="B17" s="137"/>
      <c r="C17" s="137"/>
      <c r="D17" s="138"/>
    </row>
    <row r="18" spans="1:4" x14ac:dyDescent="0.35">
      <c r="A18" s="132" t="s">
        <v>106</v>
      </c>
      <c r="B18" s="133"/>
      <c r="C18" s="133"/>
      <c r="D18" s="134"/>
    </row>
    <row r="19" spans="1:4" ht="150.75" customHeight="1" x14ac:dyDescent="0.35">
      <c r="A19" s="153" t="s">
        <v>107</v>
      </c>
      <c r="B19" s="154"/>
      <c r="C19" s="154"/>
      <c r="D19" s="155"/>
    </row>
    <row r="20" spans="1:4" x14ac:dyDescent="0.35">
      <c r="A20" s="2" t="s">
        <v>108</v>
      </c>
      <c r="B20" s="135" t="s">
        <v>278</v>
      </c>
      <c r="C20" s="135"/>
      <c r="D20" s="29" t="s">
        <v>442</v>
      </c>
    </row>
    <row r="21" spans="1:4" ht="162.75" customHeight="1" x14ac:dyDescent="0.35">
      <c r="A21" s="156"/>
      <c r="B21" s="167" t="s">
        <v>451</v>
      </c>
      <c r="C21" s="167"/>
      <c r="D21" s="168"/>
    </row>
    <row r="22" spans="1:4" x14ac:dyDescent="0.35">
      <c r="A22" s="157"/>
      <c r="B22" s="159" t="s">
        <v>113</v>
      </c>
      <c r="C22" s="160"/>
      <c r="D22" s="30" t="s">
        <v>443</v>
      </c>
    </row>
    <row r="23" spans="1:4" ht="120.75" customHeight="1" thickBot="1" x14ac:dyDescent="0.4">
      <c r="A23" s="158"/>
      <c r="B23" s="161" t="s">
        <v>114</v>
      </c>
      <c r="C23" s="162"/>
      <c r="D23" s="163"/>
    </row>
    <row r="24" spans="1:4" x14ac:dyDescent="0.35">
      <c r="A24" s="174" t="s">
        <v>131</v>
      </c>
      <c r="B24" s="175"/>
      <c r="C24" s="175"/>
      <c r="D24" s="176"/>
    </row>
    <row r="25" spans="1:4" ht="16" thickBot="1" x14ac:dyDescent="0.4">
      <c r="A25" s="178" t="s">
        <v>132</v>
      </c>
      <c r="B25" s="179"/>
      <c r="C25" s="179"/>
      <c r="D25" s="20" t="str">
        <f>IF(D20="","TBD",IF(OR(D20="Yes",D20="N/A"),"In Place","Not in Place"))</f>
        <v>In Place</v>
      </c>
    </row>
    <row r="26" spans="1:4" x14ac:dyDescent="0.35">
      <c r="A26" s="174" t="s">
        <v>133</v>
      </c>
      <c r="B26" s="175"/>
      <c r="C26" s="175"/>
      <c r="D26" s="176"/>
    </row>
    <row r="27" spans="1:4" ht="199.5" customHeight="1" thickBot="1" x14ac:dyDescent="0.4">
      <c r="A27" s="177" t="s">
        <v>134</v>
      </c>
      <c r="B27" s="162"/>
      <c r="C27" s="162"/>
      <c r="D27" s="163"/>
    </row>
  </sheetData>
  <mergeCells count="32">
    <mergeCell ref="A5:B5"/>
    <mergeCell ref="A7:B7"/>
    <mergeCell ref="A8:B8"/>
    <mergeCell ref="A10:B10"/>
    <mergeCell ref="A11:B11"/>
    <mergeCell ref="A6:B6"/>
    <mergeCell ref="C6:D6"/>
    <mergeCell ref="A12:B12"/>
    <mergeCell ref="C12:D12"/>
    <mergeCell ref="A15:D15"/>
    <mergeCell ref="A14:B14"/>
    <mergeCell ref="C14:D14"/>
    <mergeCell ref="A13:B13"/>
    <mergeCell ref="A9:B9"/>
    <mergeCell ref="B1:D1"/>
    <mergeCell ref="A2:D2"/>
    <mergeCell ref="A3:D3"/>
    <mergeCell ref="A4:B4"/>
    <mergeCell ref="C4:D4"/>
    <mergeCell ref="A18:D18"/>
    <mergeCell ref="A16:D16"/>
    <mergeCell ref="A17:D17"/>
    <mergeCell ref="A26:D26"/>
    <mergeCell ref="A27:D27"/>
    <mergeCell ref="B20:C20"/>
    <mergeCell ref="A21:A23"/>
    <mergeCell ref="B21:D21"/>
    <mergeCell ref="B22:C22"/>
    <mergeCell ref="B23:D23"/>
    <mergeCell ref="A24:D24"/>
    <mergeCell ref="A25:C25"/>
    <mergeCell ref="A19:D19"/>
  </mergeCells>
  <conditionalFormatting sqref="B23">
    <cfRule type="expression" dxfId="67" priority="2">
      <formula>D22="No"</formula>
    </cfRule>
  </conditionalFormatting>
  <conditionalFormatting sqref="D20">
    <cfRule type="cellIs" dxfId="66" priority="1" operator="equal">
      <formula>"N/A"</formula>
    </cfRule>
    <cfRule type="cellIs" dxfId="65" priority="5" operator="equal">
      <formula>"No"</formula>
    </cfRule>
    <cfRule type="cellIs" dxfId="64" priority="6" operator="equal">
      <formula>"Yes"</formula>
    </cfRule>
  </conditionalFormatting>
  <conditionalFormatting sqref="D25">
    <cfRule type="cellIs" dxfId="63" priority="3" operator="equal">
      <formula>"Not in Place"</formula>
    </cfRule>
    <cfRule type="cellIs" dxfId="62" priority="4" operator="equal">
      <formula>"In Place"</formula>
    </cfRule>
  </conditionalFormatting>
  <dataValidations count="2">
    <dataValidation type="list" allowBlank="1" showInputMessage="1" showErrorMessage="1" sqref="D22" xr:uid="{00000000-0002-0000-1000-000000000000}">
      <formula1>"Yes,No"</formula1>
    </dataValidation>
    <dataValidation type="list" allowBlank="1" showInputMessage="1" showErrorMessage="1" sqref="D20" xr:uid="{00000000-0002-0000-1000-000001000000}">
      <formula1>"Yes,No,N/A"</formula1>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D23"/>
  <sheetViews>
    <sheetView topLeftCell="A16" zoomScaleNormal="100" workbookViewId="0">
      <selection activeCell="B17" sqref="B17:D17"/>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430</v>
      </c>
      <c r="B1" s="139" t="s">
        <v>279</v>
      </c>
      <c r="C1" s="139"/>
      <c r="D1" s="140"/>
    </row>
    <row r="2" spans="1:4" ht="16" thickBot="1" x14ac:dyDescent="0.4">
      <c r="A2" s="113" t="s">
        <v>86</v>
      </c>
      <c r="B2" s="114"/>
      <c r="C2" s="114"/>
      <c r="D2" s="115"/>
    </row>
    <row r="3" spans="1:4" ht="37.75" customHeight="1" x14ac:dyDescent="0.35">
      <c r="A3" s="263" t="s">
        <v>280</v>
      </c>
      <c r="B3" s="264"/>
      <c r="C3" s="264"/>
      <c r="D3" s="265"/>
    </row>
    <row r="4" spans="1:4" ht="15.5" x14ac:dyDescent="0.35">
      <c r="A4" s="219" t="s">
        <v>88</v>
      </c>
      <c r="B4" s="220"/>
      <c r="C4" s="220" t="s">
        <v>89</v>
      </c>
      <c r="D4" s="221"/>
    </row>
    <row r="5" spans="1:4" ht="13.5" customHeight="1" x14ac:dyDescent="0.35">
      <c r="A5" s="211" t="s">
        <v>281</v>
      </c>
      <c r="B5" s="212"/>
      <c r="C5" s="269" t="s">
        <v>95</v>
      </c>
      <c r="D5" s="213"/>
    </row>
    <row r="6" spans="1:4" ht="13.5" customHeight="1" x14ac:dyDescent="0.35">
      <c r="A6" s="151" t="s">
        <v>282</v>
      </c>
      <c r="B6" s="152"/>
      <c r="C6" s="152" t="s">
        <v>270</v>
      </c>
      <c r="D6" s="225"/>
    </row>
    <row r="7" spans="1:4" ht="46.5" customHeight="1" x14ac:dyDescent="0.35">
      <c r="A7" s="151" t="s">
        <v>393</v>
      </c>
      <c r="B7" s="152"/>
      <c r="C7" s="152" t="s">
        <v>283</v>
      </c>
      <c r="D7" s="225"/>
    </row>
    <row r="8" spans="1:4" ht="39" customHeight="1" x14ac:dyDescent="0.35">
      <c r="A8" s="151" t="s">
        <v>392</v>
      </c>
      <c r="B8" s="152"/>
      <c r="C8" s="250"/>
      <c r="D8" s="251"/>
    </row>
    <row r="9" spans="1:4" ht="39" customHeight="1" x14ac:dyDescent="0.35">
      <c r="A9" s="288" t="s">
        <v>391</v>
      </c>
      <c r="B9" s="256"/>
      <c r="C9" s="89"/>
      <c r="D9" s="90"/>
    </row>
    <row r="10" spans="1:4" ht="13.5" customHeight="1" x14ac:dyDescent="0.35">
      <c r="A10" s="261" t="s">
        <v>284</v>
      </c>
      <c r="B10" s="262"/>
      <c r="C10" s="152"/>
      <c r="D10" s="225"/>
    </row>
    <row r="11" spans="1:4" ht="37.75" customHeight="1" x14ac:dyDescent="0.35">
      <c r="A11" s="216" t="s">
        <v>285</v>
      </c>
      <c r="B11" s="217"/>
      <c r="C11" s="242"/>
      <c r="D11" s="243"/>
    </row>
    <row r="12" spans="1:4" ht="172.5" customHeight="1" thickBot="1" x14ac:dyDescent="0.4">
      <c r="A12" s="276" t="s">
        <v>286</v>
      </c>
      <c r="B12" s="277"/>
      <c r="C12" s="277"/>
      <c r="D12" s="278"/>
    </row>
    <row r="13" spans="1:4" ht="16" thickBot="1" x14ac:dyDescent="0.4">
      <c r="A13" s="136" t="s">
        <v>105</v>
      </c>
      <c r="B13" s="137"/>
      <c r="C13" s="137"/>
      <c r="D13" s="138"/>
    </row>
    <row r="14" spans="1:4" x14ac:dyDescent="0.35">
      <c r="A14" s="132" t="s">
        <v>106</v>
      </c>
      <c r="B14" s="133"/>
      <c r="C14" s="133"/>
      <c r="D14" s="134"/>
    </row>
    <row r="15" spans="1:4" ht="150.75" customHeight="1" x14ac:dyDescent="0.35">
      <c r="A15" s="153" t="s">
        <v>287</v>
      </c>
      <c r="B15" s="154"/>
      <c r="C15" s="154"/>
      <c r="D15" s="155"/>
    </row>
    <row r="16" spans="1:4" x14ac:dyDescent="0.35">
      <c r="A16" s="2" t="s">
        <v>108</v>
      </c>
      <c r="B16" s="135" t="s">
        <v>288</v>
      </c>
      <c r="C16" s="135"/>
      <c r="D16" s="29" t="s">
        <v>442</v>
      </c>
    </row>
    <row r="17" spans="1:4" ht="141" customHeight="1" x14ac:dyDescent="0.35">
      <c r="A17" s="156"/>
      <c r="B17" s="167" t="s">
        <v>452</v>
      </c>
      <c r="C17" s="167"/>
      <c r="D17" s="168"/>
    </row>
    <row r="18" spans="1:4" x14ac:dyDescent="0.35">
      <c r="A18" s="157"/>
      <c r="B18" s="159" t="s">
        <v>113</v>
      </c>
      <c r="C18" s="160"/>
      <c r="D18" s="30" t="s">
        <v>443</v>
      </c>
    </row>
    <row r="19" spans="1:4" ht="150" customHeight="1" thickBot="1" x14ac:dyDescent="0.4">
      <c r="A19" s="158"/>
      <c r="B19" s="161" t="s">
        <v>114</v>
      </c>
      <c r="C19" s="162"/>
      <c r="D19" s="163"/>
    </row>
    <row r="20" spans="1:4" x14ac:dyDescent="0.35">
      <c r="A20" s="174" t="s">
        <v>131</v>
      </c>
      <c r="B20" s="175"/>
      <c r="C20" s="175"/>
      <c r="D20" s="176"/>
    </row>
    <row r="21" spans="1:4" ht="16" thickBot="1" x14ac:dyDescent="0.4">
      <c r="A21" s="178" t="s">
        <v>132</v>
      </c>
      <c r="B21" s="179"/>
      <c r="C21" s="179"/>
      <c r="D21" s="20" t="str">
        <f>IF(D16="","TBD",IF(OR(D16="Yes",D16="N/A"),"In Place","Not in Place"))</f>
        <v>In Place</v>
      </c>
    </row>
    <row r="22" spans="1:4" x14ac:dyDescent="0.35">
      <c r="A22" s="174" t="s">
        <v>133</v>
      </c>
      <c r="B22" s="175"/>
      <c r="C22" s="175"/>
      <c r="D22" s="176"/>
    </row>
    <row r="23" spans="1:4" ht="171.75" customHeight="1" thickBot="1" x14ac:dyDescent="0.4">
      <c r="A23" s="177" t="s">
        <v>134</v>
      </c>
      <c r="B23" s="162"/>
      <c r="C23" s="162"/>
      <c r="D23" s="163"/>
    </row>
  </sheetData>
  <mergeCells count="30">
    <mergeCell ref="A5:B5"/>
    <mergeCell ref="C5:D5"/>
    <mergeCell ref="B1:D1"/>
    <mergeCell ref="A2:D2"/>
    <mergeCell ref="A3:D3"/>
    <mergeCell ref="A4:B4"/>
    <mergeCell ref="C4:D4"/>
    <mergeCell ref="B16:C16"/>
    <mergeCell ref="A6:B6"/>
    <mergeCell ref="C6:D6"/>
    <mergeCell ref="A7:B7"/>
    <mergeCell ref="C7:D7"/>
    <mergeCell ref="A8:B8"/>
    <mergeCell ref="C10:D10"/>
    <mergeCell ref="A11:D11"/>
    <mergeCell ref="A12:D12"/>
    <mergeCell ref="A13:D13"/>
    <mergeCell ref="A14:D14"/>
    <mergeCell ref="A15:D15"/>
    <mergeCell ref="C8:D8"/>
    <mergeCell ref="A10:B10"/>
    <mergeCell ref="A9:B9"/>
    <mergeCell ref="A22:D22"/>
    <mergeCell ref="A23:D23"/>
    <mergeCell ref="A17:A19"/>
    <mergeCell ref="B17:D17"/>
    <mergeCell ref="B18:C18"/>
    <mergeCell ref="B19:D19"/>
    <mergeCell ref="A20:D20"/>
    <mergeCell ref="A21:C21"/>
  </mergeCells>
  <conditionalFormatting sqref="B19">
    <cfRule type="expression" dxfId="61" priority="2">
      <formula>D18="No"</formula>
    </cfRule>
  </conditionalFormatting>
  <conditionalFormatting sqref="D16">
    <cfRule type="cellIs" dxfId="60" priority="1" operator="equal">
      <formula>"N/A"</formula>
    </cfRule>
    <cfRule type="cellIs" dxfId="59" priority="5" operator="equal">
      <formula>"No"</formula>
    </cfRule>
    <cfRule type="cellIs" dxfId="58" priority="6" operator="equal">
      <formula>"Yes"</formula>
    </cfRule>
  </conditionalFormatting>
  <conditionalFormatting sqref="D21">
    <cfRule type="cellIs" dxfId="57" priority="3" operator="equal">
      <formula>"Not in Place"</formula>
    </cfRule>
    <cfRule type="cellIs" dxfId="56" priority="4" operator="equal">
      <formula>"In Place"</formula>
    </cfRule>
  </conditionalFormatting>
  <dataValidations count="2">
    <dataValidation type="list" allowBlank="1" showInputMessage="1" showErrorMessage="1" sqref="D18" xr:uid="{00000000-0002-0000-1100-000000000000}">
      <formula1>"Yes,No"</formula1>
    </dataValidation>
    <dataValidation type="list" allowBlank="1" showInputMessage="1" showErrorMessage="1" sqref="D16" xr:uid="{00000000-0002-0000-1100-000001000000}">
      <formula1>"Yes,No,N/A"</formula1>
    </dataValidation>
  </dataValidations>
  <pageMargins left="0.7" right="0.7" top="0.75" bottom="0.75" header="0.3" footer="0.3"/>
  <pageSetup orientation="portrait" horizontalDpi="90" verticalDpi="9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sheetPr>
  <dimension ref="A1:D28"/>
  <sheetViews>
    <sheetView topLeftCell="A20" zoomScaleNormal="100" workbookViewId="0">
      <selection activeCell="B22" sqref="B22:D22"/>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431</v>
      </c>
      <c r="B1" s="139" t="s">
        <v>289</v>
      </c>
      <c r="C1" s="139"/>
      <c r="D1" s="140"/>
    </row>
    <row r="2" spans="1:4" ht="16" thickBot="1" x14ac:dyDescent="0.4">
      <c r="A2" s="113" t="s">
        <v>86</v>
      </c>
      <c r="B2" s="114"/>
      <c r="C2" s="114"/>
      <c r="D2" s="115"/>
    </row>
    <row r="3" spans="1:4" ht="37.75" customHeight="1" x14ac:dyDescent="0.35">
      <c r="A3" s="141" t="s">
        <v>290</v>
      </c>
      <c r="B3" s="142"/>
      <c r="C3" s="142"/>
      <c r="D3" s="143"/>
    </row>
    <row r="4" spans="1:4" ht="15.5" x14ac:dyDescent="0.35">
      <c r="A4" s="208" t="s">
        <v>88</v>
      </c>
      <c r="B4" s="209"/>
      <c r="C4" s="116" t="s">
        <v>89</v>
      </c>
      <c r="D4" s="117"/>
    </row>
    <row r="5" spans="1:4" ht="15.75" customHeight="1" x14ac:dyDescent="0.35">
      <c r="A5" s="206" t="s">
        <v>291</v>
      </c>
      <c r="B5" s="187"/>
      <c r="C5" s="259" t="s">
        <v>141</v>
      </c>
      <c r="D5" s="207"/>
    </row>
    <row r="6" spans="1:4" ht="36" customHeight="1" x14ac:dyDescent="0.35">
      <c r="A6" s="148" t="s">
        <v>292</v>
      </c>
      <c r="B6" s="149"/>
      <c r="C6" s="195" t="s">
        <v>293</v>
      </c>
      <c r="D6" s="196"/>
    </row>
    <row r="7" spans="1:4" x14ac:dyDescent="0.35">
      <c r="A7" s="151" t="s">
        <v>160</v>
      </c>
      <c r="B7" s="152"/>
      <c r="C7" s="124" t="s">
        <v>99</v>
      </c>
      <c r="D7" s="125"/>
    </row>
    <row r="8" spans="1:4" x14ac:dyDescent="0.35">
      <c r="A8" s="151" t="s">
        <v>142</v>
      </c>
      <c r="B8" s="152"/>
      <c r="C8" s="124" t="s">
        <v>294</v>
      </c>
      <c r="D8" s="125"/>
    </row>
    <row r="9" spans="1:4" ht="33.75" customHeight="1" x14ac:dyDescent="0.35">
      <c r="A9" s="151" t="s">
        <v>395</v>
      </c>
      <c r="B9" s="152"/>
      <c r="C9" s="42"/>
      <c r="D9" s="43"/>
    </row>
    <row r="10" spans="1:4" ht="33.75" customHeight="1" x14ac:dyDescent="0.35">
      <c r="A10" s="151" t="s">
        <v>396</v>
      </c>
      <c r="B10" s="152"/>
      <c r="C10" s="42"/>
      <c r="D10" s="43"/>
    </row>
    <row r="11" spans="1:4" x14ac:dyDescent="0.35">
      <c r="A11" s="288" t="s">
        <v>394</v>
      </c>
      <c r="B11" s="256"/>
      <c r="C11" s="42"/>
      <c r="D11" s="43"/>
    </row>
    <row r="12" spans="1:4" x14ac:dyDescent="0.35">
      <c r="A12" s="151" t="s">
        <v>223</v>
      </c>
      <c r="B12" s="152"/>
      <c r="C12" s="42"/>
      <c r="D12" s="43"/>
    </row>
    <row r="13" spans="1:4" x14ac:dyDescent="0.35">
      <c r="A13" s="151" t="s">
        <v>144</v>
      </c>
      <c r="B13" s="152"/>
      <c r="C13" s="42"/>
      <c r="D13" s="43"/>
    </row>
    <row r="14" spans="1:4" x14ac:dyDescent="0.35">
      <c r="A14" s="151" t="s">
        <v>295</v>
      </c>
      <c r="B14" s="152"/>
      <c r="C14" s="42"/>
      <c r="D14" s="43"/>
    </row>
    <row r="15" spans="1:4" ht="86.25" customHeight="1" x14ac:dyDescent="0.35">
      <c r="A15" s="289" t="s">
        <v>296</v>
      </c>
      <c r="B15" s="249"/>
      <c r="C15" s="42"/>
      <c r="D15" s="43"/>
    </row>
    <row r="16" spans="1:4" ht="37.75" customHeight="1" x14ac:dyDescent="0.35">
      <c r="A16" s="121" t="s">
        <v>297</v>
      </c>
      <c r="B16" s="122"/>
      <c r="C16" s="122"/>
      <c r="D16" s="123"/>
    </row>
    <row r="17" spans="1:4" ht="52" customHeight="1" thickBot="1" x14ac:dyDescent="0.4">
      <c r="A17" s="118" t="s">
        <v>298</v>
      </c>
      <c r="B17" s="119"/>
      <c r="C17" s="119"/>
      <c r="D17" s="120"/>
    </row>
    <row r="18" spans="1:4" ht="16" thickBot="1" x14ac:dyDescent="0.4">
      <c r="A18" s="136" t="s">
        <v>105</v>
      </c>
      <c r="B18" s="137"/>
      <c r="C18" s="137"/>
      <c r="D18" s="138"/>
    </row>
    <row r="19" spans="1:4" x14ac:dyDescent="0.35">
      <c r="A19" s="132" t="s">
        <v>106</v>
      </c>
      <c r="B19" s="133"/>
      <c r="C19" s="133"/>
      <c r="D19" s="134"/>
    </row>
    <row r="20" spans="1:4" ht="150.75" customHeight="1" x14ac:dyDescent="0.35">
      <c r="A20" s="153" t="s">
        <v>107</v>
      </c>
      <c r="B20" s="154"/>
      <c r="C20" s="154"/>
      <c r="D20" s="155"/>
    </row>
    <row r="21" spans="1:4" x14ac:dyDescent="0.35">
      <c r="A21" s="2" t="s">
        <v>108</v>
      </c>
      <c r="B21" s="135" t="s">
        <v>299</v>
      </c>
      <c r="C21" s="135"/>
      <c r="D21" s="29" t="s">
        <v>442</v>
      </c>
    </row>
    <row r="22" spans="1:4" ht="153" customHeight="1" x14ac:dyDescent="0.35">
      <c r="A22" s="156"/>
      <c r="B22" s="167" t="s">
        <v>465</v>
      </c>
      <c r="C22" s="167"/>
      <c r="D22" s="168"/>
    </row>
    <row r="23" spans="1:4" x14ac:dyDescent="0.35">
      <c r="A23" s="157"/>
      <c r="B23" s="159" t="s">
        <v>113</v>
      </c>
      <c r="C23" s="160"/>
      <c r="D23" s="30" t="s">
        <v>443</v>
      </c>
    </row>
    <row r="24" spans="1:4" ht="124.5" customHeight="1" thickBot="1" x14ac:dyDescent="0.4">
      <c r="A24" s="158"/>
      <c r="B24" s="161" t="s">
        <v>114</v>
      </c>
      <c r="C24" s="162"/>
      <c r="D24" s="163"/>
    </row>
    <row r="25" spans="1:4" x14ac:dyDescent="0.35">
      <c r="A25" s="174" t="s">
        <v>131</v>
      </c>
      <c r="B25" s="175"/>
      <c r="C25" s="175"/>
      <c r="D25" s="176"/>
    </row>
    <row r="26" spans="1:4" ht="16" thickBot="1" x14ac:dyDescent="0.4">
      <c r="A26" s="178" t="s">
        <v>132</v>
      </c>
      <c r="B26" s="179"/>
      <c r="C26" s="179"/>
      <c r="D26" s="20" t="str">
        <f>IF(D21="","TBD",IF(OR(D21="Yes",D21="N/A"),"In Place","Not in Place"))</f>
        <v>In Place</v>
      </c>
    </row>
    <row r="27" spans="1:4" x14ac:dyDescent="0.35">
      <c r="A27" s="174" t="s">
        <v>133</v>
      </c>
      <c r="B27" s="175"/>
      <c r="C27" s="175"/>
      <c r="D27" s="176"/>
    </row>
    <row r="28" spans="1:4" ht="177.75" customHeight="1" thickBot="1" x14ac:dyDescent="0.4">
      <c r="A28" s="177" t="s">
        <v>134</v>
      </c>
      <c r="B28" s="162"/>
      <c r="C28" s="162"/>
      <c r="D28" s="163"/>
    </row>
  </sheetData>
  <mergeCells count="34">
    <mergeCell ref="A6:B6"/>
    <mergeCell ref="C6:D6"/>
    <mergeCell ref="B1:D1"/>
    <mergeCell ref="A2:D2"/>
    <mergeCell ref="A3:D3"/>
    <mergeCell ref="A4:B4"/>
    <mergeCell ref="C4:D4"/>
    <mergeCell ref="A5:B5"/>
    <mergeCell ref="C5:D5"/>
    <mergeCell ref="C7:D7"/>
    <mergeCell ref="A16:D16"/>
    <mergeCell ref="A17:D17"/>
    <mergeCell ref="A18:D18"/>
    <mergeCell ref="A19:D19"/>
    <mergeCell ref="A14:B14"/>
    <mergeCell ref="A7:B7"/>
    <mergeCell ref="A8:B8"/>
    <mergeCell ref="A9:B9"/>
    <mergeCell ref="A12:B12"/>
    <mergeCell ref="A13:B13"/>
    <mergeCell ref="A10:B10"/>
    <mergeCell ref="C8:D8"/>
    <mergeCell ref="A11:B11"/>
    <mergeCell ref="B21:C21"/>
    <mergeCell ref="A15:B15"/>
    <mergeCell ref="A20:D20"/>
    <mergeCell ref="A27:D27"/>
    <mergeCell ref="A28:D28"/>
    <mergeCell ref="A22:A24"/>
    <mergeCell ref="B22:D22"/>
    <mergeCell ref="B23:C23"/>
    <mergeCell ref="B24:D24"/>
    <mergeCell ref="A25:D25"/>
    <mergeCell ref="A26:C26"/>
  </mergeCells>
  <conditionalFormatting sqref="B24">
    <cfRule type="expression" dxfId="55" priority="2">
      <formula>D23="No"</formula>
    </cfRule>
  </conditionalFormatting>
  <conditionalFormatting sqref="D21">
    <cfRule type="cellIs" dxfId="54" priority="1" operator="equal">
      <formula>"N/A"</formula>
    </cfRule>
    <cfRule type="cellIs" dxfId="53" priority="5" operator="equal">
      <formula>"No"</formula>
    </cfRule>
    <cfRule type="cellIs" dxfId="52" priority="6" operator="equal">
      <formula>"Yes"</formula>
    </cfRule>
  </conditionalFormatting>
  <conditionalFormatting sqref="D26">
    <cfRule type="cellIs" dxfId="51" priority="3" operator="equal">
      <formula>"Not in Place"</formula>
    </cfRule>
    <cfRule type="cellIs" dxfId="50" priority="4" operator="equal">
      <formula>"In Place"</formula>
    </cfRule>
  </conditionalFormatting>
  <dataValidations count="2">
    <dataValidation type="list" allowBlank="1" showInputMessage="1" showErrorMessage="1" sqref="D21" xr:uid="{00000000-0002-0000-1200-000000000000}">
      <formula1>"Yes,No,N/A"</formula1>
    </dataValidation>
    <dataValidation type="list" allowBlank="1" showInputMessage="1" showErrorMessage="1" sqref="D23" xr:uid="{00000000-0002-0000-1200-000001000000}">
      <formula1>"Yes,No"</formula1>
    </dataValidation>
  </dataValidations>
  <pageMargins left="0.7" right="0.7" top="0.75" bottom="0.75" header="0.3" footer="0.3"/>
  <pageSetup orientation="portrait" horizontalDpi="90" verticalDpi="9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1:D21"/>
  <sheetViews>
    <sheetView topLeftCell="A14" zoomScaleNormal="100" workbookViewId="0">
      <selection activeCell="B15" sqref="B15:D15"/>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412</v>
      </c>
      <c r="B1" s="139" t="s">
        <v>300</v>
      </c>
      <c r="C1" s="139"/>
      <c r="D1" s="140"/>
    </row>
    <row r="2" spans="1:4" ht="16" thickBot="1" x14ac:dyDescent="0.4">
      <c r="A2" s="113" t="s">
        <v>86</v>
      </c>
      <c r="B2" s="114"/>
      <c r="C2" s="114"/>
      <c r="D2" s="115"/>
    </row>
    <row r="3" spans="1:4" ht="37.75" customHeight="1" x14ac:dyDescent="0.35">
      <c r="A3" s="216" t="s">
        <v>301</v>
      </c>
      <c r="B3" s="217"/>
      <c r="C3" s="217"/>
      <c r="D3" s="218"/>
    </row>
    <row r="4" spans="1:4" ht="15.5" x14ac:dyDescent="0.35">
      <c r="A4" s="219" t="s">
        <v>88</v>
      </c>
      <c r="B4" s="220"/>
      <c r="C4" s="220" t="s">
        <v>89</v>
      </c>
      <c r="D4" s="221"/>
    </row>
    <row r="5" spans="1:4" ht="29.25" customHeight="1" x14ac:dyDescent="0.35">
      <c r="A5" s="211" t="s">
        <v>302</v>
      </c>
      <c r="B5" s="212"/>
      <c r="C5" s="212" t="s">
        <v>303</v>
      </c>
      <c r="D5" s="213"/>
    </row>
    <row r="6" spans="1:4" ht="29.25" customHeight="1" x14ac:dyDescent="0.35">
      <c r="A6" s="151" t="s">
        <v>304</v>
      </c>
      <c r="B6" s="152"/>
      <c r="C6" s="38"/>
      <c r="D6" s="39"/>
    </row>
    <row r="7" spans="1:4" ht="13.5" customHeight="1" x14ac:dyDescent="0.35">
      <c r="A7" s="151" t="s">
        <v>305</v>
      </c>
      <c r="B7" s="152"/>
      <c r="C7" s="214" t="s">
        <v>143</v>
      </c>
      <c r="D7" s="215"/>
    </row>
    <row r="8" spans="1:4" ht="13.5" customHeight="1" x14ac:dyDescent="0.35">
      <c r="A8" s="290"/>
      <c r="B8" s="291"/>
      <c r="C8" s="291" t="s">
        <v>294</v>
      </c>
      <c r="D8" s="292"/>
    </row>
    <row r="9" spans="1:4" ht="37.75" customHeight="1" x14ac:dyDescent="0.35">
      <c r="A9" s="241" t="s">
        <v>306</v>
      </c>
      <c r="B9" s="242"/>
      <c r="C9" s="242"/>
      <c r="D9" s="243"/>
    </row>
    <row r="10" spans="1:4" ht="53.25" customHeight="1" thickBot="1" x14ac:dyDescent="0.4">
      <c r="A10" s="276" t="s">
        <v>307</v>
      </c>
      <c r="B10" s="277"/>
      <c r="C10" s="277"/>
      <c r="D10" s="278"/>
    </row>
    <row r="11" spans="1:4" ht="16" thickBot="1" x14ac:dyDescent="0.4">
      <c r="A11" s="136" t="s">
        <v>105</v>
      </c>
      <c r="B11" s="137"/>
      <c r="C11" s="137"/>
      <c r="D11" s="138"/>
    </row>
    <row r="12" spans="1:4" x14ac:dyDescent="0.35">
      <c r="A12" s="132" t="s">
        <v>106</v>
      </c>
      <c r="B12" s="133"/>
      <c r="C12" s="133"/>
      <c r="D12" s="134"/>
    </row>
    <row r="13" spans="1:4" ht="150.75" customHeight="1" x14ac:dyDescent="0.35">
      <c r="A13" s="153" t="s">
        <v>107</v>
      </c>
      <c r="B13" s="154"/>
      <c r="C13" s="154"/>
      <c r="D13" s="155"/>
    </row>
    <row r="14" spans="1:4" x14ac:dyDescent="0.35">
      <c r="A14" s="2" t="s">
        <v>108</v>
      </c>
      <c r="B14" s="135" t="s">
        <v>308</v>
      </c>
      <c r="C14" s="135"/>
      <c r="D14" s="29" t="s">
        <v>442</v>
      </c>
    </row>
    <row r="15" spans="1:4" ht="162" customHeight="1" x14ac:dyDescent="0.35">
      <c r="A15" s="156"/>
      <c r="B15" s="167" t="s">
        <v>453</v>
      </c>
      <c r="C15" s="167"/>
      <c r="D15" s="168"/>
    </row>
    <row r="16" spans="1:4" x14ac:dyDescent="0.35">
      <c r="A16" s="157"/>
      <c r="B16" s="159" t="s">
        <v>113</v>
      </c>
      <c r="C16" s="160"/>
      <c r="D16" s="30" t="s">
        <v>443</v>
      </c>
    </row>
    <row r="17" spans="1:4" ht="130.5" customHeight="1" thickBot="1" x14ac:dyDescent="0.4">
      <c r="A17" s="158"/>
      <c r="B17" s="161" t="s">
        <v>114</v>
      </c>
      <c r="C17" s="162"/>
      <c r="D17" s="163"/>
    </row>
    <row r="18" spans="1:4" x14ac:dyDescent="0.35">
      <c r="A18" s="174" t="s">
        <v>131</v>
      </c>
      <c r="B18" s="175"/>
      <c r="C18" s="175"/>
      <c r="D18" s="176"/>
    </row>
    <row r="19" spans="1:4" ht="16" thickBot="1" x14ac:dyDescent="0.4">
      <c r="A19" s="178" t="s">
        <v>132</v>
      </c>
      <c r="B19" s="179"/>
      <c r="C19" s="179"/>
      <c r="D19" s="20" t="str">
        <f>IF(D14="","TBD",IF(OR(D14="Yes",D14="N/A"),"In Place","Not in Place"))</f>
        <v>In Place</v>
      </c>
    </row>
    <row r="20" spans="1:4" x14ac:dyDescent="0.35">
      <c r="A20" s="174" t="s">
        <v>133</v>
      </c>
      <c r="B20" s="175"/>
      <c r="C20" s="175"/>
      <c r="D20" s="176"/>
    </row>
    <row r="21" spans="1:4" ht="138" customHeight="1" thickBot="1" x14ac:dyDescent="0.4">
      <c r="A21" s="177" t="s">
        <v>134</v>
      </c>
      <c r="B21" s="162"/>
      <c r="C21" s="162"/>
      <c r="D21" s="163"/>
    </row>
  </sheetData>
  <mergeCells count="26">
    <mergeCell ref="A8:B8"/>
    <mergeCell ref="C8:D8"/>
    <mergeCell ref="A9:D9"/>
    <mergeCell ref="A10:D10"/>
    <mergeCell ref="B1:D1"/>
    <mergeCell ref="A2:D2"/>
    <mergeCell ref="A3:D3"/>
    <mergeCell ref="A4:B4"/>
    <mergeCell ref="C4:D4"/>
    <mergeCell ref="A5:B5"/>
    <mergeCell ref="C5:D5"/>
    <mergeCell ref="C7:D7"/>
    <mergeCell ref="A7:B7"/>
    <mergeCell ref="A6:B6"/>
    <mergeCell ref="A18:D18"/>
    <mergeCell ref="A19:C19"/>
    <mergeCell ref="A20:D20"/>
    <mergeCell ref="A21:D21"/>
    <mergeCell ref="A11:D11"/>
    <mergeCell ref="A12:D12"/>
    <mergeCell ref="B14:C14"/>
    <mergeCell ref="A15:A17"/>
    <mergeCell ref="B15:D15"/>
    <mergeCell ref="B16:C16"/>
    <mergeCell ref="B17:D17"/>
    <mergeCell ref="A13:D13"/>
  </mergeCells>
  <conditionalFormatting sqref="B17">
    <cfRule type="expression" dxfId="49" priority="2">
      <formula>D16="No"</formula>
    </cfRule>
  </conditionalFormatting>
  <conditionalFormatting sqref="D14">
    <cfRule type="cellIs" dxfId="48" priority="1" operator="equal">
      <formula>"N/A"</formula>
    </cfRule>
    <cfRule type="cellIs" dxfId="47" priority="5" operator="equal">
      <formula>"No"</formula>
    </cfRule>
    <cfRule type="cellIs" dxfId="46" priority="6" operator="equal">
      <formula>"Yes"</formula>
    </cfRule>
  </conditionalFormatting>
  <conditionalFormatting sqref="D19">
    <cfRule type="cellIs" dxfId="45" priority="3" operator="equal">
      <formula>"Not in Place"</formula>
    </cfRule>
    <cfRule type="cellIs" dxfId="44" priority="4" operator="equal">
      <formula>"In Place"</formula>
    </cfRule>
  </conditionalFormatting>
  <dataValidations count="2">
    <dataValidation type="list" allowBlank="1" showInputMessage="1" showErrorMessage="1" sqref="D16" xr:uid="{00000000-0002-0000-1300-000000000000}">
      <formula1>"Yes,No"</formula1>
    </dataValidation>
    <dataValidation type="list" allowBlank="1" showInputMessage="1" showErrorMessage="1" sqref="D14" xr:uid="{00000000-0002-0000-1300-000001000000}">
      <formula1>"Yes,No,N/A"</formula1>
    </dataValidation>
  </dataValidations>
  <pageMargins left="0.7" right="0.7" top="0.75" bottom="0.75" header="0.3" footer="0.3"/>
  <pageSetup orientation="portrait" horizontalDpi="90" verticalDpi="9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sheetPr>
  <dimension ref="A1:D28"/>
  <sheetViews>
    <sheetView topLeftCell="A21" zoomScaleNormal="100" workbookViewId="0">
      <selection activeCell="B22" sqref="B22:D22"/>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413</v>
      </c>
      <c r="B1" s="139" t="s">
        <v>309</v>
      </c>
      <c r="C1" s="139"/>
      <c r="D1" s="140"/>
    </row>
    <row r="2" spans="1:4" ht="16" thickBot="1" x14ac:dyDescent="0.4">
      <c r="A2" s="113" t="s">
        <v>86</v>
      </c>
      <c r="B2" s="114"/>
      <c r="C2" s="114"/>
      <c r="D2" s="115"/>
    </row>
    <row r="3" spans="1:4" ht="37.75" customHeight="1" x14ac:dyDescent="0.35">
      <c r="A3" s="141" t="s">
        <v>310</v>
      </c>
      <c r="B3" s="142"/>
      <c r="C3" s="142"/>
      <c r="D3" s="143"/>
    </row>
    <row r="4" spans="1:4" ht="15.5" x14ac:dyDescent="0.35">
      <c r="A4" s="126" t="s">
        <v>88</v>
      </c>
      <c r="B4" s="116"/>
      <c r="C4" s="116" t="s">
        <v>89</v>
      </c>
      <c r="D4" s="117"/>
    </row>
    <row r="5" spans="1:4" ht="21.75" customHeight="1" x14ac:dyDescent="0.35">
      <c r="A5" s="211" t="s">
        <v>311</v>
      </c>
      <c r="B5" s="212"/>
      <c r="C5" s="127" t="s">
        <v>283</v>
      </c>
      <c r="D5" s="128"/>
    </row>
    <row r="6" spans="1:4" x14ac:dyDescent="0.35">
      <c r="A6" s="293" t="s">
        <v>214</v>
      </c>
      <c r="B6" s="294"/>
      <c r="C6" s="195"/>
      <c r="D6" s="196"/>
    </row>
    <row r="7" spans="1:4" x14ac:dyDescent="0.35">
      <c r="A7" s="272" t="s">
        <v>195</v>
      </c>
      <c r="B7" s="273"/>
      <c r="C7" s="33"/>
      <c r="D7" s="34"/>
    </row>
    <row r="8" spans="1:4" x14ac:dyDescent="0.35">
      <c r="A8" s="299" t="s">
        <v>398</v>
      </c>
      <c r="B8" s="273"/>
      <c r="C8" s="33"/>
      <c r="D8" s="34"/>
    </row>
    <row r="9" spans="1:4" x14ac:dyDescent="0.35">
      <c r="A9" s="295" t="s">
        <v>399</v>
      </c>
      <c r="B9" s="296"/>
      <c r="C9" s="33"/>
      <c r="D9" s="34"/>
    </row>
    <row r="10" spans="1:4" x14ac:dyDescent="0.35">
      <c r="A10" s="297" t="s">
        <v>397</v>
      </c>
      <c r="B10" s="298"/>
      <c r="C10" s="33"/>
      <c r="D10" s="34"/>
    </row>
    <row r="11" spans="1:4" ht="13.5" customHeight="1" x14ac:dyDescent="0.35">
      <c r="A11" s="151" t="s">
        <v>312</v>
      </c>
      <c r="B11" s="152"/>
      <c r="C11" s="124"/>
      <c r="D11" s="125"/>
    </row>
    <row r="12" spans="1:4" ht="13.5" customHeight="1" x14ac:dyDescent="0.35">
      <c r="A12" s="54" t="s">
        <v>313</v>
      </c>
      <c r="B12" s="53"/>
      <c r="C12" s="33"/>
      <c r="D12" s="34"/>
    </row>
    <row r="13" spans="1:4" ht="26.25" customHeight="1" x14ac:dyDescent="0.35">
      <c r="A13" s="151" t="s">
        <v>314</v>
      </c>
      <c r="B13" s="152"/>
      <c r="C13" s="260"/>
      <c r="D13" s="201"/>
    </row>
    <row r="14" spans="1:4" ht="37.5" customHeight="1" x14ac:dyDescent="0.35">
      <c r="A14" s="151" t="s">
        <v>315</v>
      </c>
      <c r="B14" s="152"/>
      <c r="C14" s="124"/>
      <c r="D14" s="125"/>
    </row>
    <row r="15" spans="1:4" ht="31.5" customHeight="1" x14ac:dyDescent="0.35">
      <c r="A15" s="151" t="s">
        <v>316</v>
      </c>
      <c r="B15" s="152"/>
      <c r="C15" s="49"/>
      <c r="D15" s="50"/>
    </row>
    <row r="16" spans="1:4" ht="37.75" customHeight="1" x14ac:dyDescent="0.35">
      <c r="A16" s="121" t="s">
        <v>317</v>
      </c>
      <c r="B16" s="122"/>
      <c r="C16" s="122"/>
      <c r="D16" s="123"/>
    </row>
    <row r="17" spans="1:4" ht="112.5" customHeight="1" thickBot="1" x14ac:dyDescent="0.4">
      <c r="A17" s="118" t="s">
        <v>318</v>
      </c>
      <c r="B17" s="119"/>
      <c r="C17" s="119"/>
      <c r="D17" s="120"/>
    </row>
    <row r="18" spans="1:4" ht="16" thickBot="1" x14ac:dyDescent="0.4">
      <c r="A18" s="136" t="s">
        <v>105</v>
      </c>
      <c r="B18" s="137"/>
      <c r="C18" s="137"/>
      <c r="D18" s="138"/>
    </row>
    <row r="19" spans="1:4" x14ac:dyDescent="0.35">
      <c r="A19" s="132" t="s">
        <v>106</v>
      </c>
      <c r="B19" s="133"/>
      <c r="C19" s="133"/>
      <c r="D19" s="134"/>
    </row>
    <row r="20" spans="1:4" ht="150.75" customHeight="1" x14ac:dyDescent="0.35">
      <c r="A20" s="153" t="s">
        <v>107</v>
      </c>
      <c r="B20" s="154"/>
      <c r="C20" s="154"/>
      <c r="D20" s="155"/>
    </row>
    <row r="21" spans="1:4" x14ac:dyDescent="0.35">
      <c r="A21" s="2" t="s">
        <v>108</v>
      </c>
      <c r="B21" s="135" t="s">
        <v>319</v>
      </c>
      <c r="C21" s="135"/>
      <c r="D21" s="29" t="s">
        <v>442</v>
      </c>
    </row>
    <row r="22" spans="1:4" ht="152.25" customHeight="1" x14ac:dyDescent="0.35">
      <c r="A22" s="156"/>
      <c r="B22" s="167" t="s">
        <v>454</v>
      </c>
      <c r="C22" s="167"/>
      <c r="D22" s="168"/>
    </row>
    <row r="23" spans="1:4" x14ac:dyDescent="0.35">
      <c r="A23" s="157"/>
      <c r="B23" s="159" t="s">
        <v>113</v>
      </c>
      <c r="C23" s="160"/>
      <c r="D23" s="30" t="s">
        <v>443</v>
      </c>
    </row>
    <row r="24" spans="1:4" ht="144" customHeight="1" thickBot="1" x14ac:dyDescent="0.4">
      <c r="A24" s="158"/>
      <c r="B24" s="161" t="s">
        <v>114</v>
      </c>
      <c r="C24" s="162"/>
      <c r="D24" s="163"/>
    </row>
    <row r="25" spans="1:4" x14ac:dyDescent="0.35">
      <c r="A25" s="174" t="s">
        <v>131</v>
      </c>
      <c r="B25" s="175"/>
      <c r="C25" s="175"/>
      <c r="D25" s="176"/>
    </row>
    <row r="26" spans="1:4" ht="16" thickBot="1" x14ac:dyDescent="0.4">
      <c r="A26" s="178" t="s">
        <v>132</v>
      </c>
      <c r="B26" s="179"/>
      <c r="C26" s="179"/>
      <c r="D26" s="20" t="str">
        <f>IF(D21="","TBD",IF(OR(D21="Yes",D21="N/A"),"In Place","Not in Place"))</f>
        <v>In Place</v>
      </c>
    </row>
    <row r="27" spans="1:4" x14ac:dyDescent="0.35">
      <c r="A27" s="174" t="s">
        <v>133</v>
      </c>
      <c r="B27" s="175"/>
      <c r="C27" s="175"/>
      <c r="D27" s="176"/>
    </row>
    <row r="28" spans="1:4" ht="145.5" customHeight="1" thickBot="1" x14ac:dyDescent="0.4">
      <c r="A28" s="177" t="s">
        <v>134</v>
      </c>
      <c r="B28" s="162"/>
      <c r="C28" s="162"/>
      <c r="D28" s="163"/>
    </row>
  </sheetData>
  <mergeCells count="34">
    <mergeCell ref="B1:D1"/>
    <mergeCell ref="A2:D2"/>
    <mergeCell ref="A3:D3"/>
    <mergeCell ref="A4:B4"/>
    <mergeCell ref="C4:D4"/>
    <mergeCell ref="C13:D13"/>
    <mergeCell ref="A20:D20"/>
    <mergeCell ref="A5:B5"/>
    <mergeCell ref="C5:D5"/>
    <mergeCell ref="A6:B6"/>
    <mergeCell ref="C6:D6"/>
    <mergeCell ref="A11:B11"/>
    <mergeCell ref="C14:D14"/>
    <mergeCell ref="A15:B15"/>
    <mergeCell ref="C11:D11"/>
    <mergeCell ref="A7:B7"/>
    <mergeCell ref="A13:B13"/>
    <mergeCell ref="A9:B9"/>
    <mergeCell ref="A14:B14"/>
    <mergeCell ref="A10:B10"/>
    <mergeCell ref="A8:B8"/>
    <mergeCell ref="A27:D27"/>
    <mergeCell ref="A28:D28"/>
    <mergeCell ref="A22:A24"/>
    <mergeCell ref="B22:D22"/>
    <mergeCell ref="B23:C23"/>
    <mergeCell ref="B24:D24"/>
    <mergeCell ref="A25:D25"/>
    <mergeCell ref="A26:C26"/>
    <mergeCell ref="B21:C21"/>
    <mergeCell ref="A16:D16"/>
    <mergeCell ref="A17:D17"/>
    <mergeCell ref="A18:D18"/>
    <mergeCell ref="A19:D19"/>
  </mergeCells>
  <conditionalFormatting sqref="B24">
    <cfRule type="expression" dxfId="43" priority="2">
      <formula>D23="No"</formula>
    </cfRule>
  </conditionalFormatting>
  <conditionalFormatting sqref="D21">
    <cfRule type="cellIs" dxfId="42" priority="1" operator="equal">
      <formula>"N/A"</formula>
    </cfRule>
    <cfRule type="cellIs" dxfId="41" priority="5" operator="equal">
      <formula>"No"</formula>
    </cfRule>
    <cfRule type="cellIs" dxfId="40" priority="6" operator="equal">
      <formula>"Yes"</formula>
    </cfRule>
  </conditionalFormatting>
  <conditionalFormatting sqref="D26">
    <cfRule type="cellIs" dxfId="39" priority="3" operator="equal">
      <formula>"Not in Place"</formula>
    </cfRule>
    <cfRule type="cellIs" dxfId="38" priority="4" operator="equal">
      <formula>"In Place"</formula>
    </cfRule>
  </conditionalFormatting>
  <dataValidations count="2">
    <dataValidation type="list" allowBlank="1" showInputMessage="1" showErrorMessage="1" sqref="D23" xr:uid="{00000000-0002-0000-1400-000000000000}">
      <formula1>"Yes,No"</formula1>
    </dataValidation>
    <dataValidation type="list" allowBlank="1" showInputMessage="1" showErrorMessage="1" sqref="D21" xr:uid="{00000000-0002-0000-1400-000001000000}">
      <formula1>"Yes,No,N/A"</formula1>
    </dataValidation>
  </dataValidations>
  <pageMargins left="0.7" right="0.7" top="0.75" bottom="0.75" header="0.3" footer="0.3"/>
  <pageSetup orientation="portrait" horizontalDpi="90" verticalDpi="9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1:D24"/>
  <sheetViews>
    <sheetView topLeftCell="A16" zoomScaleNormal="100" workbookViewId="0">
      <selection activeCell="B18" sqref="B18:D18"/>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414</v>
      </c>
      <c r="B1" s="139" t="s">
        <v>320</v>
      </c>
      <c r="C1" s="139"/>
      <c r="D1" s="140"/>
    </row>
    <row r="2" spans="1:4" ht="16" thickBot="1" x14ac:dyDescent="0.4">
      <c r="A2" s="113" t="s">
        <v>86</v>
      </c>
      <c r="B2" s="114"/>
      <c r="C2" s="114"/>
      <c r="D2" s="115"/>
    </row>
    <row r="3" spans="1:4" ht="37.75" customHeight="1" x14ac:dyDescent="0.35">
      <c r="A3" s="263" t="s">
        <v>321</v>
      </c>
      <c r="B3" s="264"/>
      <c r="C3" s="300"/>
      <c r="D3" s="301"/>
    </row>
    <row r="4" spans="1:4" ht="15.5" x14ac:dyDescent="0.35">
      <c r="A4" s="219" t="s">
        <v>88</v>
      </c>
      <c r="B4" s="220"/>
      <c r="C4" s="220" t="s">
        <v>89</v>
      </c>
      <c r="D4" s="221"/>
    </row>
    <row r="5" spans="1:4" x14ac:dyDescent="0.35">
      <c r="A5" s="151" t="s">
        <v>322</v>
      </c>
      <c r="B5" s="194"/>
      <c r="C5" s="214" t="s">
        <v>323</v>
      </c>
      <c r="D5" s="215"/>
    </row>
    <row r="6" spans="1:4" ht="13.5" customHeight="1" x14ac:dyDescent="0.35">
      <c r="A6" s="151" t="s">
        <v>194</v>
      </c>
      <c r="B6" s="152"/>
      <c r="C6" s="194" t="s">
        <v>192</v>
      </c>
      <c r="D6" s="215"/>
    </row>
    <row r="7" spans="1:4" ht="13.5" customHeight="1" x14ac:dyDescent="0.35">
      <c r="A7" s="151" t="s">
        <v>195</v>
      </c>
      <c r="B7" s="152"/>
      <c r="C7" s="77"/>
      <c r="D7" s="39"/>
    </row>
    <row r="8" spans="1:4" ht="13.5" customHeight="1" x14ac:dyDescent="0.35">
      <c r="A8" s="151" t="s">
        <v>324</v>
      </c>
      <c r="B8" s="152"/>
      <c r="C8" s="250"/>
      <c r="D8" s="251"/>
    </row>
    <row r="9" spans="1:4" ht="13.5" customHeight="1" x14ac:dyDescent="0.35">
      <c r="A9" s="151" t="s">
        <v>325</v>
      </c>
      <c r="B9" s="152"/>
      <c r="C9" s="194"/>
      <c r="D9" s="215"/>
    </row>
    <row r="10" spans="1:4" ht="13.5" customHeight="1" x14ac:dyDescent="0.35">
      <c r="A10" s="288" t="s">
        <v>400</v>
      </c>
      <c r="B10" s="256"/>
      <c r="C10" s="77"/>
      <c r="D10" s="39"/>
    </row>
    <row r="11" spans="1:4" ht="25.5" customHeight="1" x14ac:dyDescent="0.35">
      <c r="A11" s="151" t="s">
        <v>326</v>
      </c>
      <c r="B11" s="152"/>
      <c r="C11" s="250"/>
      <c r="D11" s="251"/>
    </row>
    <row r="12" spans="1:4" ht="37.75" customHeight="1" x14ac:dyDescent="0.35">
      <c r="A12" s="241" t="s">
        <v>327</v>
      </c>
      <c r="B12" s="242"/>
      <c r="C12" s="242"/>
      <c r="D12" s="243"/>
    </row>
    <row r="13" spans="1:4" ht="52.5" customHeight="1" thickBot="1" x14ac:dyDescent="0.4">
      <c r="A13" s="118" t="s">
        <v>401</v>
      </c>
      <c r="B13" s="119"/>
      <c r="C13" s="119"/>
      <c r="D13" s="120"/>
    </row>
    <row r="14" spans="1:4" ht="16" thickBot="1" x14ac:dyDescent="0.4">
      <c r="A14" s="136" t="s">
        <v>105</v>
      </c>
      <c r="B14" s="137"/>
      <c r="C14" s="137"/>
      <c r="D14" s="138"/>
    </row>
    <row r="15" spans="1:4" x14ac:dyDescent="0.35">
      <c r="A15" s="132" t="s">
        <v>106</v>
      </c>
      <c r="B15" s="133"/>
      <c r="C15" s="133"/>
      <c r="D15" s="134"/>
    </row>
    <row r="16" spans="1:4" ht="150.75" customHeight="1" x14ac:dyDescent="0.35">
      <c r="A16" s="153" t="s">
        <v>107</v>
      </c>
      <c r="B16" s="154"/>
      <c r="C16" s="154"/>
      <c r="D16" s="155"/>
    </row>
    <row r="17" spans="1:4" x14ac:dyDescent="0.35">
      <c r="A17" s="2" t="s">
        <v>108</v>
      </c>
      <c r="B17" s="135" t="s">
        <v>328</v>
      </c>
      <c r="C17" s="135"/>
      <c r="D17" s="29" t="s">
        <v>442</v>
      </c>
    </row>
    <row r="18" spans="1:4" ht="158.25" customHeight="1" x14ac:dyDescent="0.35">
      <c r="A18" s="156"/>
      <c r="B18" s="167" t="s">
        <v>455</v>
      </c>
      <c r="C18" s="167"/>
      <c r="D18" s="168"/>
    </row>
    <row r="19" spans="1:4" x14ac:dyDescent="0.35">
      <c r="A19" s="157"/>
      <c r="B19" s="159" t="s">
        <v>113</v>
      </c>
      <c r="C19" s="160"/>
      <c r="D19" s="30" t="s">
        <v>443</v>
      </c>
    </row>
    <row r="20" spans="1:4" ht="148.5" customHeight="1" thickBot="1" x14ac:dyDescent="0.4">
      <c r="A20" s="158"/>
      <c r="B20" s="161" t="s">
        <v>114</v>
      </c>
      <c r="C20" s="162"/>
      <c r="D20" s="163"/>
    </row>
    <row r="21" spans="1:4" x14ac:dyDescent="0.35">
      <c r="A21" s="174" t="s">
        <v>131</v>
      </c>
      <c r="B21" s="175"/>
      <c r="C21" s="175"/>
      <c r="D21" s="176"/>
    </row>
    <row r="22" spans="1:4" ht="16" thickBot="1" x14ac:dyDescent="0.4">
      <c r="A22" s="178" t="s">
        <v>132</v>
      </c>
      <c r="B22" s="179"/>
      <c r="C22" s="179"/>
      <c r="D22" s="20" t="str">
        <f>IF(D17="","TBD",IF(OR(D17="Yes",D17="N/A"),"In Place","Not in Place"))</f>
        <v>In Place</v>
      </c>
    </row>
    <row r="23" spans="1:4" x14ac:dyDescent="0.35">
      <c r="A23" s="174" t="s">
        <v>133</v>
      </c>
      <c r="B23" s="175"/>
      <c r="C23" s="175"/>
      <c r="D23" s="176"/>
    </row>
    <row r="24" spans="1:4" ht="180.75" customHeight="1" thickBot="1" x14ac:dyDescent="0.4">
      <c r="A24" s="177" t="s">
        <v>134</v>
      </c>
      <c r="B24" s="162"/>
      <c r="C24" s="162"/>
      <c r="D24" s="163"/>
    </row>
  </sheetData>
  <mergeCells count="31">
    <mergeCell ref="A5:B5"/>
    <mergeCell ref="A7:B7"/>
    <mergeCell ref="A6:B6"/>
    <mergeCell ref="C6:D6"/>
    <mergeCell ref="A9:B9"/>
    <mergeCell ref="C9:D9"/>
    <mergeCell ref="C5:D5"/>
    <mergeCell ref="A12:D12"/>
    <mergeCell ref="C11:D11"/>
    <mergeCell ref="A8:B8"/>
    <mergeCell ref="C8:D8"/>
    <mergeCell ref="A11:B11"/>
    <mergeCell ref="A10:B10"/>
    <mergeCell ref="B1:D1"/>
    <mergeCell ref="A2:D2"/>
    <mergeCell ref="A3:D3"/>
    <mergeCell ref="A4:B4"/>
    <mergeCell ref="C4:D4"/>
    <mergeCell ref="A23:D23"/>
    <mergeCell ref="A24:D24"/>
    <mergeCell ref="B17:C17"/>
    <mergeCell ref="A18:A20"/>
    <mergeCell ref="B18:D18"/>
    <mergeCell ref="B19:C19"/>
    <mergeCell ref="B20:D20"/>
    <mergeCell ref="A16:D16"/>
    <mergeCell ref="A21:D21"/>
    <mergeCell ref="A22:C22"/>
    <mergeCell ref="A15:D15"/>
    <mergeCell ref="A13:D13"/>
    <mergeCell ref="A14:D14"/>
  </mergeCells>
  <conditionalFormatting sqref="B20">
    <cfRule type="expression" dxfId="37" priority="2">
      <formula>D19="No"</formula>
    </cfRule>
  </conditionalFormatting>
  <conditionalFormatting sqref="D17">
    <cfRule type="cellIs" dxfId="36" priority="1" operator="equal">
      <formula>"N/A"</formula>
    </cfRule>
    <cfRule type="cellIs" dxfId="35" priority="5" operator="equal">
      <formula>"No"</formula>
    </cfRule>
    <cfRule type="cellIs" dxfId="34" priority="6" operator="equal">
      <formula>"Yes"</formula>
    </cfRule>
  </conditionalFormatting>
  <conditionalFormatting sqref="D22">
    <cfRule type="cellIs" dxfId="33" priority="3" operator="equal">
      <formula>"Not in Place"</formula>
    </cfRule>
    <cfRule type="cellIs" dxfId="32" priority="4" operator="equal">
      <formula>"In Place"</formula>
    </cfRule>
  </conditionalFormatting>
  <dataValidations count="2">
    <dataValidation type="list" allowBlank="1" showInputMessage="1" showErrorMessage="1" sqref="D17" xr:uid="{00000000-0002-0000-1500-000000000000}">
      <formula1>"Yes,No,N/A"</formula1>
    </dataValidation>
    <dataValidation type="list" allowBlank="1" showInputMessage="1" showErrorMessage="1" sqref="D19" xr:uid="{00000000-0002-0000-1500-000001000000}">
      <formula1>"Yes,No"</formula1>
    </dataValidation>
  </dataValidations>
  <pageMargins left="0.7" right="0.7" top="0.75" bottom="0.75" header="0.3" footer="0.3"/>
  <pageSetup orientation="portrait" horizontalDpi="90" verticalDpi="9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D25"/>
  <sheetViews>
    <sheetView topLeftCell="B15" zoomScaleNormal="100" workbookViewId="0">
      <selection activeCell="B19" sqref="B19:D19"/>
    </sheetView>
  </sheetViews>
  <sheetFormatPr defaultRowHeight="14.5" x14ac:dyDescent="0.35"/>
  <cols>
    <col min="1" max="1" width="25" customWidth="1"/>
    <col min="2" max="3" width="75.7265625" customWidth="1"/>
    <col min="4" max="4" width="16.7265625" customWidth="1"/>
  </cols>
  <sheetData>
    <row r="1" spans="1:4" ht="20.5" thickBot="1" x14ac:dyDescent="0.4">
      <c r="A1" s="63" t="s">
        <v>329</v>
      </c>
      <c r="B1" s="139" t="s">
        <v>330</v>
      </c>
      <c r="C1" s="139"/>
      <c r="D1" s="140"/>
    </row>
    <row r="2" spans="1:4" ht="16" thickBot="1" x14ac:dyDescent="0.4">
      <c r="A2" s="113" t="s">
        <v>86</v>
      </c>
      <c r="B2" s="114"/>
      <c r="C2" s="114"/>
      <c r="D2" s="115"/>
    </row>
    <row r="3" spans="1:4" ht="37.75" customHeight="1" x14ac:dyDescent="0.35">
      <c r="A3" s="263" t="s">
        <v>331</v>
      </c>
      <c r="B3" s="264"/>
      <c r="C3" s="264"/>
      <c r="D3" s="265"/>
    </row>
    <row r="4" spans="1:4" ht="15.5" x14ac:dyDescent="0.35">
      <c r="A4" s="219" t="s">
        <v>88</v>
      </c>
      <c r="B4" s="220"/>
      <c r="C4" s="220" t="s">
        <v>89</v>
      </c>
      <c r="D4" s="221"/>
    </row>
    <row r="5" spans="1:4" ht="13.5" customHeight="1" x14ac:dyDescent="0.35">
      <c r="A5" s="211" t="s">
        <v>250</v>
      </c>
      <c r="B5" s="212"/>
      <c r="C5" s="212" t="s">
        <v>145</v>
      </c>
      <c r="D5" s="213"/>
    </row>
    <row r="6" spans="1:4" ht="13.5" customHeight="1" x14ac:dyDescent="0.35">
      <c r="A6" s="148" t="s">
        <v>332</v>
      </c>
      <c r="B6" s="149"/>
      <c r="C6" s="149" t="s">
        <v>294</v>
      </c>
      <c r="D6" s="225"/>
    </row>
    <row r="7" spans="1:4" ht="13.5" customHeight="1" x14ac:dyDescent="0.35">
      <c r="A7" s="148" t="s">
        <v>333</v>
      </c>
      <c r="B7" s="149"/>
      <c r="C7" s="149"/>
      <c r="D7" s="225"/>
    </row>
    <row r="8" spans="1:4" ht="13.5" customHeight="1" x14ac:dyDescent="0.35">
      <c r="A8" s="148" t="s">
        <v>334</v>
      </c>
      <c r="B8" s="149"/>
      <c r="C8" s="149"/>
      <c r="D8" s="225"/>
    </row>
    <row r="9" spans="1:4" ht="13.5" customHeight="1" x14ac:dyDescent="0.35">
      <c r="A9" s="148" t="s">
        <v>403</v>
      </c>
      <c r="B9" s="149"/>
      <c r="C9" s="149"/>
      <c r="D9" s="225"/>
    </row>
    <row r="10" spans="1:4" ht="13.5" customHeight="1" x14ac:dyDescent="0.35">
      <c r="A10" s="151" t="s">
        <v>335</v>
      </c>
      <c r="B10" s="152"/>
      <c r="C10" s="53"/>
      <c r="D10" s="78"/>
    </row>
    <row r="11" spans="1:4" ht="13.5" customHeight="1" x14ac:dyDescent="0.35">
      <c r="A11" s="151" t="s">
        <v>336</v>
      </c>
      <c r="B11" s="152"/>
      <c r="C11" s="152"/>
      <c r="D11" s="225"/>
    </row>
    <row r="12" spans="1:4" ht="13.5" customHeight="1" x14ac:dyDescent="0.35">
      <c r="A12" s="261" t="s">
        <v>402</v>
      </c>
      <c r="B12" s="304"/>
      <c r="C12" s="302"/>
      <c r="D12" s="303"/>
    </row>
    <row r="13" spans="1:4" ht="60" customHeight="1" x14ac:dyDescent="0.35">
      <c r="A13" s="216" t="s">
        <v>337</v>
      </c>
      <c r="B13" s="217"/>
      <c r="C13" s="217"/>
      <c r="D13" s="218"/>
    </row>
    <row r="14" spans="1:4" ht="37.75" customHeight="1" thickBot="1" x14ac:dyDescent="0.4">
      <c r="A14" s="118" t="s">
        <v>338</v>
      </c>
      <c r="B14" s="119"/>
      <c r="C14" s="119"/>
      <c r="D14" s="120"/>
    </row>
    <row r="15" spans="1:4" ht="16" thickBot="1" x14ac:dyDescent="0.4">
      <c r="A15" s="136" t="s">
        <v>105</v>
      </c>
      <c r="B15" s="137"/>
      <c r="C15" s="137"/>
      <c r="D15" s="138"/>
    </row>
    <row r="16" spans="1:4" x14ac:dyDescent="0.35">
      <c r="A16" s="132" t="s">
        <v>106</v>
      </c>
      <c r="B16" s="133"/>
      <c r="C16" s="133"/>
      <c r="D16" s="134"/>
    </row>
    <row r="17" spans="1:4" ht="150.75" customHeight="1" x14ac:dyDescent="0.35">
      <c r="A17" s="153" t="s">
        <v>287</v>
      </c>
      <c r="B17" s="154"/>
      <c r="C17" s="154"/>
      <c r="D17" s="155"/>
    </row>
    <row r="18" spans="1:4" x14ac:dyDescent="0.35">
      <c r="A18" s="2" t="s">
        <v>108</v>
      </c>
      <c r="B18" s="135" t="s">
        <v>339</v>
      </c>
      <c r="C18" s="135"/>
      <c r="D18" s="29" t="s">
        <v>442</v>
      </c>
    </row>
    <row r="19" spans="1:4" ht="183" customHeight="1" x14ac:dyDescent="0.35">
      <c r="A19" s="156"/>
      <c r="B19" s="167" t="s">
        <v>112</v>
      </c>
      <c r="C19" s="167"/>
      <c r="D19" s="168"/>
    </row>
    <row r="20" spans="1:4" x14ac:dyDescent="0.35">
      <c r="A20" s="157"/>
      <c r="B20" s="159" t="s">
        <v>113</v>
      </c>
      <c r="C20" s="160"/>
      <c r="D20" s="30"/>
    </row>
    <row r="21" spans="1:4" ht="187.5" customHeight="1" thickBot="1" x14ac:dyDescent="0.4">
      <c r="A21" s="158"/>
      <c r="B21" s="161" t="s">
        <v>114</v>
      </c>
      <c r="C21" s="162"/>
      <c r="D21" s="163"/>
    </row>
    <row r="22" spans="1:4" x14ac:dyDescent="0.35">
      <c r="A22" s="174" t="s">
        <v>131</v>
      </c>
      <c r="B22" s="175"/>
      <c r="C22" s="175"/>
      <c r="D22" s="176"/>
    </row>
    <row r="23" spans="1:4" ht="16" thickBot="1" x14ac:dyDescent="0.4">
      <c r="A23" s="178" t="s">
        <v>132</v>
      </c>
      <c r="B23" s="179"/>
      <c r="C23" s="179"/>
      <c r="D23" s="20" t="str">
        <f>IF('User Data'!B4="B","Not Applicable",IF(D18="","TBD",IF(OR(D18="Yes",D18="N/A"),"In Place","Not in Place")))</f>
        <v>In Place</v>
      </c>
    </row>
    <row r="24" spans="1:4" x14ac:dyDescent="0.35">
      <c r="A24" s="174" t="s">
        <v>133</v>
      </c>
      <c r="B24" s="175"/>
      <c r="C24" s="175"/>
      <c r="D24" s="176"/>
    </row>
    <row r="25" spans="1:4" ht="165" customHeight="1" thickBot="1" x14ac:dyDescent="0.4">
      <c r="A25" s="177" t="s">
        <v>134</v>
      </c>
      <c r="B25" s="162"/>
      <c r="C25" s="162"/>
      <c r="D25" s="163"/>
    </row>
  </sheetData>
  <mergeCells count="34">
    <mergeCell ref="A5:B5"/>
    <mergeCell ref="C5:D5"/>
    <mergeCell ref="B1:D1"/>
    <mergeCell ref="A2:D2"/>
    <mergeCell ref="A3:D3"/>
    <mergeCell ref="A4:B4"/>
    <mergeCell ref="C4:D4"/>
    <mergeCell ref="A23:C23"/>
    <mergeCell ref="A24:D24"/>
    <mergeCell ref="A25:D25"/>
    <mergeCell ref="C8:D8"/>
    <mergeCell ref="C7:D7"/>
    <mergeCell ref="A15:D15"/>
    <mergeCell ref="A16:D16"/>
    <mergeCell ref="B18:C18"/>
    <mergeCell ref="A19:A21"/>
    <mergeCell ref="B19:D19"/>
    <mergeCell ref="B20:C20"/>
    <mergeCell ref="B21:D21"/>
    <mergeCell ref="A9:B9"/>
    <mergeCell ref="C9:D9"/>
    <mergeCell ref="A11:B11"/>
    <mergeCell ref="A12:B12"/>
    <mergeCell ref="C6:D6"/>
    <mergeCell ref="A8:B8"/>
    <mergeCell ref="A7:B7"/>
    <mergeCell ref="A6:B6"/>
    <mergeCell ref="A22:D22"/>
    <mergeCell ref="C11:D11"/>
    <mergeCell ref="A13:D13"/>
    <mergeCell ref="A14:D14"/>
    <mergeCell ref="A17:D17"/>
    <mergeCell ref="C12:D12"/>
    <mergeCell ref="A10:B10"/>
  </mergeCells>
  <conditionalFormatting sqref="A3:D11 A12 C12 A13:D14 A18:D21 A23:D23 A25:D25">
    <cfRule type="expression" dxfId="31" priority="1">
      <formula>$D$23="Not Applicable"</formula>
    </cfRule>
  </conditionalFormatting>
  <conditionalFormatting sqref="B21">
    <cfRule type="expression" dxfId="30" priority="3">
      <formula>D20="No"</formula>
    </cfRule>
  </conditionalFormatting>
  <conditionalFormatting sqref="D18">
    <cfRule type="cellIs" dxfId="29" priority="2" operator="equal">
      <formula>"N/A"</formula>
    </cfRule>
    <cfRule type="cellIs" dxfId="28" priority="6" operator="equal">
      <formula>"No"</formula>
    </cfRule>
    <cfRule type="cellIs" dxfId="27" priority="7" operator="equal">
      <formula>"Yes"</formula>
    </cfRule>
  </conditionalFormatting>
  <conditionalFormatting sqref="D23">
    <cfRule type="cellIs" dxfId="26" priority="4" operator="equal">
      <formula>"Not in Place"</formula>
    </cfRule>
    <cfRule type="cellIs" dxfId="25" priority="5" operator="equal">
      <formula>"In Place"</formula>
    </cfRule>
  </conditionalFormatting>
  <dataValidations count="2">
    <dataValidation type="list" allowBlank="1" showInputMessage="1" showErrorMessage="1" sqref="D18" xr:uid="{00000000-0002-0000-1600-000000000000}">
      <formula1>"Yes,No,N/A"</formula1>
    </dataValidation>
    <dataValidation type="list" allowBlank="1" showInputMessage="1" showErrorMessage="1" sqref="D20" xr:uid="{00000000-0002-0000-1600-000001000000}">
      <formula1>"Yes,No"</formula1>
    </dataValidation>
  </dataValidation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D18"/>
  <sheetViews>
    <sheetView topLeftCell="A10" zoomScaleNormal="100" workbookViewId="0"/>
  </sheetViews>
  <sheetFormatPr defaultRowHeight="14.5" x14ac:dyDescent="0.35"/>
  <cols>
    <col min="1" max="1" width="26.54296875" customWidth="1"/>
    <col min="2" max="3" width="75.7265625" customWidth="1"/>
    <col min="4" max="4" width="16.7265625" customWidth="1"/>
  </cols>
  <sheetData>
    <row r="1" spans="1:4" ht="20.5" thickBot="1" x14ac:dyDescent="0.4">
      <c r="A1" s="63" t="s">
        <v>340</v>
      </c>
      <c r="B1" s="139" t="s">
        <v>341</v>
      </c>
      <c r="C1" s="139"/>
      <c r="D1" s="140"/>
    </row>
    <row r="2" spans="1:4" ht="16" thickBot="1" x14ac:dyDescent="0.4">
      <c r="A2" s="113" t="s">
        <v>86</v>
      </c>
      <c r="B2" s="114"/>
      <c r="C2" s="114"/>
      <c r="D2" s="115"/>
    </row>
    <row r="3" spans="1:4" ht="37.75" customHeight="1" x14ac:dyDescent="0.35">
      <c r="A3" s="216" t="s">
        <v>342</v>
      </c>
      <c r="B3" s="217"/>
      <c r="C3" s="217"/>
      <c r="D3" s="218"/>
    </row>
    <row r="4" spans="1:4" ht="15.5" x14ac:dyDescent="0.35">
      <c r="A4" s="219" t="s">
        <v>88</v>
      </c>
      <c r="B4" s="220"/>
      <c r="C4" s="220" t="s">
        <v>89</v>
      </c>
      <c r="D4" s="221"/>
    </row>
    <row r="5" spans="1:4" ht="73.5" customHeight="1" x14ac:dyDescent="0.35">
      <c r="A5" s="211" t="s">
        <v>404</v>
      </c>
      <c r="B5" s="212"/>
      <c r="C5" s="212" t="s">
        <v>183</v>
      </c>
      <c r="D5" s="213"/>
    </row>
    <row r="6" spans="1:4" ht="37.75" customHeight="1" x14ac:dyDescent="0.35">
      <c r="A6" s="241" t="s">
        <v>405</v>
      </c>
      <c r="B6" s="242"/>
      <c r="C6" s="242"/>
      <c r="D6" s="243"/>
    </row>
    <row r="7" spans="1:4" ht="37.75" customHeight="1" thickBot="1" x14ac:dyDescent="0.4">
      <c r="A7" s="118" t="s">
        <v>343</v>
      </c>
      <c r="B7" s="119"/>
      <c r="C7" s="119"/>
      <c r="D7" s="120"/>
    </row>
    <row r="8" spans="1:4" ht="16" thickBot="1" x14ac:dyDescent="0.4">
      <c r="A8" s="136" t="s">
        <v>105</v>
      </c>
      <c r="B8" s="137"/>
      <c r="C8" s="137"/>
      <c r="D8" s="138"/>
    </row>
    <row r="9" spans="1:4" x14ac:dyDescent="0.35">
      <c r="A9" s="132" t="s">
        <v>106</v>
      </c>
      <c r="B9" s="133"/>
      <c r="C9" s="133"/>
      <c r="D9" s="134"/>
    </row>
    <row r="10" spans="1:4" ht="150.75" customHeight="1" x14ac:dyDescent="0.35">
      <c r="A10" s="153" t="s">
        <v>107</v>
      </c>
      <c r="B10" s="154"/>
      <c r="C10" s="154"/>
      <c r="D10" s="155"/>
    </row>
    <row r="11" spans="1:4" x14ac:dyDescent="0.35">
      <c r="A11" s="2" t="s">
        <v>108</v>
      </c>
      <c r="B11" s="135" t="s">
        <v>344</v>
      </c>
      <c r="C11" s="135"/>
      <c r="D11" s="29"/>
    </row>
    <row r="12" spans="1:4" ht="148.5" customHeight="1" x14ac:dyDescent="0.35">
      <c r="A12" s="156"/>
      <c r="B12" s="167" t="s">
        <v>112</v>
      </c>
      <c r="C12" s="167"/>
      <c r="D12" s="168"/>
    </row>
    <row r="13" spans="1:4" x14ac:dyDescent="0.35">
      <c r="A13" s="157"/>
      <c r="B13" s="159" t="s">
        <v>113</v>
      </c>
      <c r="C13" s="160"/>
      <c r="D13" s="30"/>
    </row>
    <row r="14" spans="1:4" ht="187.5" customHeight="1" thickBot="1" x14ac:dyDescent="0.4">
      <c r="A14" s="158"/>
      <c r="B14" s="161" t="s">
        <v>114</v>
      </c>
      <c r="C14" s="162"/>
      <c r="D14" s="163"/>
    </row>
    <row r="15" spans="1:4" x14ac:dyDescent="0.35">
      <c r="A15" s="174" t="s">
        <v>131</v>
      </c>
      <c r="B15" s="175"/>
      <c r="C15" s="175"/>
      <c r="D15" s="176"/>
    </row>
    <row r="16" spans="1:4" ht="16" thickBot="1" x14ac:dyDescent="0.4">
      <c r="A16" s="178" t="s">
        <v>132</v>
      </c>
      <c r="B16" s="179"/>
      <c r="C16" s="179"/>
      <c r="D16" s="20" t="str">
        <f>IF(OR('User Data'!B4="B",'User Data'!B4="A3"),"Not Applicable",IF(D11="","TBD",IF(OR(D11="Yes",D11="N/A"),"In Place","Not in Place")))</f>
        <v>TBD</v>
      </c>
    </row>
    <row r="17" spans="1:4" x14ac:dyDescent="0.35">
      <c r="A17" s="174" t="s">
        <v>133</v>
      </c>
      <c r="B17" s="175"/>
      <c r="C17" s="175"/>
      <c r="D17" s="176"/>
    </row>
    <row r="18" spans="1:4" ht="197.25" customHeight="1" thickBot="1" x14ac:dyDescent="0.4">
      <c r="A18" s="177" t="s">
        <v>134</v>
      </c>
      <c r="B18" s="162"/>
      <c r="C18" s="162"/>
      <c r="D18" s="163"/>
    </row>
  </sheetData>
  <mergeCells count="21">
    <mergeCell ref="A6:D6"/>
    <mergeCell ref="A7:D7"/>
    <mergeCell ref="B1:D1"/>
    <mergeCell ref="A2:D2"/>
    <mergeCell ref="A3:D3"/>
    <mergeCell ref="A4:B4"/>
    <mergeCell ref="C4:D4"/>
    <mergeCell ref="A5:B5"/>
    <mergeCell ref="C5:D5"/>
    <mergeCell ref="A15:D15"/>
    <mergeCell ref="A16:C16"/>
    <mergeCell ref="A17:D17"/>
    <mergeCell ref="A18:D18"/>
    <mergeCell ref="A8:D8"/>
    <mergeCell ref="A9:D9"/>
    <mergeCell ref="B11:C11"/>
    <mergeCell ref="A12:A14"/>
    <mergeCell ref="B12:D12"/>
    <mergeCell ref="B13:C13"/>
    <mergeCell ref="B14:D14"/>
    <mergeCell ref="A10:D10"/>
  </mergeCells>
  <conditionalFormatting sqref="A3:D7 A11:D14 A16:D16 A18:D18">
    <cfRule type="expression" dxfId="24" priority="1">
      <formula>$D$16="Not Applicable"</formula>
    </cfRule>
  </conditionalFormatting>
  <conditionalFormatting sqref="B14">
    <cfRule type="expression" dxfId="23" priority="3">
      <formula>D13="No"</formula>
    </cfRule>
  </conditionalFormatting>
  <conditionalFormatting sqref="D11">
    <cfRule type="cellIs" dxfId="22" priority="2" operator="equal">
      <formula>"N/A"</formula>
    </cfRule>
    <cfRule type="cellIs" dxfId="21" priority="6" operator="equal">
      <formula>"No"</formula>
    </cfRule>
    <cfRule type="cellIs" dxfId="20" priority="7" operator="equal">
      <formula>"Yes"</formula>
    </cfRule>
  </conditionalFormatting>
  <conditionalFormatting sqref="D16">
    <cfRule type="cellIs" dxfId="19" priority="4" operator="equal">
      <formula>"Not in Place"</formula>
    </cfRule>
    <cfRule type="cellIs" dxfId="18" priority="5" operator="equal">
      <formula>"In Place"</formula>
    </cfRule>
  </conditionalFormatting>
  <dataValidations count="2">
    <dataValidation type="list" allowBlank="1" showInputMessage="1" showErrorMessage="1" sqref="D13" xr:uid="{00000000-0002-0000-1700-000000000000}">
      <formula1>"Yes,No"</formula1>
    </dataValidation>
    <dataValidation type="list" allowBlank="1" showInputMessage="1" showErrorMessage="1" sqref="D11" xr:uid="{00000000-0002-0000-1700-000001000000}">
      <formula1>"Yes,No,N/A"</formula1>
    </dataValidation>
  </dataValidation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70C0"/>
  </sheetPr>
  <dimension ref="A1:D28"/>
  <sheetViews>
    <sheetView topLeftCell="A20" zoomScaleNormal="100" workbookViewId="0">
      <selection activeCell="B22" sqref="B22:D22"/>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415</v>
      </c>
      <c r="B1" s="139" t="s">
        <v>345</v>
      </c>
      <c r="C1" s="139"/>
      <c r="D1" s="140"/>
    </row>
    <row r="2" spans="1:4" ht="16" thickBot="1" x14ac:dyDescent="0.4">
      <c r="A2" s="113" t="s">
        <v>86</v>
      </c>
      <c r="B2" s="114"/>
      <c r="C2" s="114"/>
      <c r="D2" s="115"/>
    </row>
    <row r="3" spans="1:4" ht="37.75" customHeight="1" x14ac:dyDescent="0.35">
      <c r="A3" s="188" t="s">
        <v>346</v>
      </c>
      <c r="B3" s="189"/>
      <c r="C3" s="189"/>
      <c r="D3" s="190"/>
    </row>
    <row r="4" spans="1:4" ht="15.5" x14ac:dyDescent="0.35">
      <c r="A4" s="208" t="s">
        <v>88</v>
      </c>
      <c r="B4" s="209"/>
      <c r="C4" s="209" t="s">
        <v>89</v>
      </c>
      <c r="D4" s="210"/>
    </row>
    <row r="5" spans="1:4" ht="13.5" customHeight="1" x14ac:dyDescent="0.35">
      <c r="A5" s="287" t="s">
        <v>347</v>
      </c>
      <c r="B5" s="187"/>
      <c r="C5" s="259" t="s">
        <v>143</v>
      </c>
      <c r="D5" s="207"/>
    </row>
    <row r="6" spans="1:4" ht="13.5" customHeight="1" x14ac:dyDescent="0.35">
      <c r="A6" s="151" t="s">
        <v>348</v>
      </c>
      <c r="B6" s="152"/>
      <c r="C6" s="240" t="s">
        <v>244</v>
      </c>
      <c r="D6" s="196"/>
    </row>
    <row r="7" spans="1:4" ht="13.5" customHeight="1" x14ac:dyDescent="0.35">
      <c r="A7" s="151" t="s">
        <v>195</v>
      </c>
      <c r="B7" s="152"/>
      <c r="C7" s="44"/>
      <c r="D7" s="34"/>
    </row>
    <row r="8" spans="1:4" ht="13.5" customHeight="1" x14ac:dyDescent="0.35">
      <c r="A8" s="272" t="s">
        <v>398</v>
      </c>
      <c r="B8" s="273"/>
      <c r="C8" s="44"/>
      <c r="D8" s="34"/>
    </row>
    <row r="9" spans="1:4" x14ac:dyDescent="0.35">
      <c r="A9" s="272" t="s">
        <v>375</v>
      </c>
      <c r="B9" s="273"/>
      <c r="C9" s="240"/>
      <c r="D9" s="196"/>
    </row>
    <row r="10" spans="1:4" x14ac:dyDescent="0.35">
      <c r="A10" s="272" t="s">
        <v>397</v>
      </c>
      <c r="B10" s="273"/>
      <c r="C10" s="44"/>
      <c r="D10" s="34"/>
    </row>
    <row r="11" spans="1:4" ht="13.5" customHeight="1" x14ac:dyDescent="0.35">
      <c r="A11" s="151" t="s">
        <v>349</v>
      </c>
      <c r="B11" s="152"/>
      <c r="C11" s="240"/>
      <c r="D11" s="196"/>
    </row>
    <row r="12" spans="1:4" ht="13.5" customHeight="1" x14ac:dyDescent="0.35">
      <c r="A12" s="151" t="s">
        <v>350</v>
      </c>
      <c r="B12" s="152"/>
      <c r="C12" s="240"/>
      <c r="D12" s="196"/>
    </row>
    <row r="13" spans="1:4" ht="13.5" customHeight="1" x14ac:dyDescent="0.35">
      <c r="A13" s="151" t="s">
        <v>351</v>
      </c>
      <c r="B13" s="152"/>
      <c r="C13" s="240"/>
      <c r="D13" s="196"/>
    </row>
    <row r="14" spans="1:4" ht="30" customHeight="1" x14ac:dyDescent="0.35">
      <c r="A14" s="151" t="s">
        <v>352</v>
      </c>
      <c r="B14" s="152"/>
      <c r="C14" s="240"/>
      <c r="D14" s="196"/>
    </row>
    <row r="15" spans="1:4" ht="27" customHeight="1" x14ac:dyDescent="0.35">
      <c r="A15" s="261" t="s">
        <v>353</v>
      </c>
      <c r="B15" s="262"/>
      <c r="C15" s="283"/>
      <c r="D15" s="247"/>
    </row>
    <row r="16" spans="1:4" ht="37.75" customHeight="1" x14ac:dyDescent="0.35">
      <c r="A16" s="141" t="s">
        <v>354</v>
      </c>
      <c r="B16" s="142"/>
      <c r="C16" s="142"/>
      <c r="D16" s="143"/>
    </row>
    <row r="17" spans="1:4" ht="52.5" customHeight="1" thickBot="1" x14ac:dyDescent="0.4">
      <c r="A17" s="118" t="s">
        <v>355</v>
      </c>
      <c r="B17" s="119"/>
      <c r="C17" s="119"/>
      <c r="D17" s="120"/>
    </row>
    <row r="18" spans="1:4" ht="16" thickBot="1" x14ac:dyDescent="0.4">
      <c r="A18" s="136" t="s">
        <v>105</v>
      </c>
      <c r="B18" s="137"/>
      <c r="C18" s="137"/>
      <c r="D18" s="138"/>
    </row>
    <row r="19" spans="1:4" x14ac:dyDescent="0.35">
      <c r="A19" s="132" t="s">
        <v>106</v>
      </c>
      <c r="B19" s="133"/>
      <c r="C19" s="133"/>
      <c r="D19" s="134"/>
    </row>
    <row r="20" spans="1:4" ht="150.75" customHeight="1" x14ac:dyDescent="0.35">
      <c r="A20" s="153" t="s">
        <v>107</v>
      </c>
      <c r="B20" s="154"/>
      <c r="C20" s="154"/>
      <c r="D20" s="155"/>
    </row>
    <row r="21" spans="1:4" x14ac:dyDescent="0.35">
      <c r="A21" s="2" t="s">
        <v>108</v>
      </c>
      <c r="B21" s="135" t="s">
        <v>356</v>
      </c>
      <c r="C21" s="135"/>
      <c r="D21" s="29" t="s">
        <v>442</v>
      </c>
    </row>
    <row r="22" spans="1:4" ht="135" customHeight="1" x14ac:dyDescent="0.35">
      <c r="A22" s="156"/>
      <c r="B22" s="167" t="s">
        <v>456</v>
      </c>
      <c r="C22" s="167"/>
      <c r="D22" s="168"/>
    </row>
    <row r="23" spans="1:4" x14ac:dyDescent="0.35">
      <c r="A23" s="157"/>
      <c r="B23" s="159" t="s">
        <v>113</v>
      </c>
      <c r="C23" s="160"/>
      <c r="D23" s="30" t="s">
        <v>443</v>
      </c>
    </row>
    <row r="24" spans="1:4" ht="117.75" customHeight="1" thickBot="1" x14ac:dyDescent="0.4">
      <c r="A24" s="158"/>
      <c r="B24" s="161" t="s">
        <v>114</v>
      </c>
      <c r="C24" s="162"/>
      <c r="D24" s="163"/>
    </row>
    <row r="25" spans="1:4" x14ac:dyDescent="0.35">
      <c r="A25" s="174" t="s">
        <v>131</v>
      </c>
      <c r="B25" s="175"/>
      <c r="C25" s="175"/>
      <c r="D25" s="176"/>
    </row>
    <row r="26" spans="1:4" ht="16" thickBot="1" x14ac:dyDescent="0.4">
      <c r="A26" s="178" t="s">
        <v>132</v>
      </c>
      <c r="B26" s="179"/>
      <c r="C26" s="179"/>
      <c r="D26" s="20" t="str">
        <f>IF(D21="","TBD",IF(OR(D21="Yes",D21="N/A"),"In Place","Not in Place"))</f>
        <v>In Place</v>
      </c>
    </row>
    <row r="27" spans="1:4" x14ac:dyDescent="0.35">
      <c r="A27" s="174" t="s">
        <v>133</v>
      </c>
      <c r="B27" s="175"/>
      <c r="C27" s="175"/>
      <c r="D27" s="176"/>
    </row>
    <row r="28" spans="1:4" ht="174" customHeight="1" thickBot="1" x14ac:dyDescent="0.4">
      <c r="A28" s="177" t="s">
        <v>134</v>
      </c>
      <c r="B28" s="162"/>
      <c r="C28" s="162"/>
      <c r="D28" s="163"/>
    </row>
  </sheetData>
  <mergeCells count="38">
    <mergeCell ref="A5:B5"/>
    <mergeCell ref="C5:D5"/>
    <mergeCell ref="B1:D1"/>
    <mergeCell ref="A2:D2"/>
    <mergeCell ref="A3:D3"/>
    <mergeCell ref="A4:B4"/>
    <mergeCell ref="C4:D4"/>
    <mergeCell ref="C12:D12"/>
    <mergeCell ref="A14:B14"/>
    <mergeCell ref="C6:D6"/>
    <mergeCell ref="A6:B6"/>
    <mergeCell ref="A9:B9"/>
    <mergeCell ref="C9:D9"/>
    <mergeCell ref="A11:B11"/>
    <mergeCell ref="C11:D11"/>
    <mergeCell ref="A12:B12"/>
    <mergeCell ref="A7:B7"/>
    <mergeCell ref="A10:B10"/>
    <mergeCell ref="A8:B8"/>
    <mergeCell ref="A18:D18"/>
    <mergeCell ref="A19:D19"/>
    <mergeCell ref="B21:C21"/>
    <mergeCell ref="A13:B13"/>
    <mergeCell ref="C13:D13"/>
    <mergeCell ref="C14:D14"/>
    <mergeCell ref="A16:D16"/>
    <mergeCell ref="A17:D17"/>
    <mergeCell ref="A15:B15"/>
    <mergeCell ref="C15:D15"/>
    <mergeCell ref="A20:D20"/>
    <mergeCell ref="A27:D27"/>
    <mergeCell ref="A28:D28"/>
    <mergeCell ref="A22:A24"/>
    <mergeCell ref="B22:D22"/>
    <mergeCell ref="B23:C23"/>
    <mergeCell ref="B24:D24"/>
    <mergeCell ref="A25:D25"/>
    <mergeCell ref="A26:C26"/>
  </mergeCells>
  <conditionalFormatting sqref="B24">
    <cfRule type="expression" dxfId="17" priority="2">
      <formula>D23="No"</formula>
    </cfRule>
  </conditionalFormatting>
  <conditionalFormatting sqref="D21">
    <cfRule type="cellIs" dxfId="16" priority="1" operator="equal">
      <formula>"N/A"</formula>
    </cfRule>
    <cfRule type="cellIs" dxfId="15" priority="5" operator="equal">
      <formula>"No"</formula>
    </cfRule>
    <cfRule type="cellIs" dxfId="14" priority="6" operator="equal">
      <formula>"Yes"</formula>
    </cfRule>
  </conditionalFormatting>
  <conditionalFormatting sqref="D26">
    <cfRule type="cellIs" dxfId="13" priority="3" operator="equal">
      <formula>"Not in Place"</formula>
    </cfRule>
    <cfRule type="cellIs" dxfId="12" priority="4" operator="equal">
      <formula>"In Place"</formula>
    </cfRule>
  </conditionalFormatting>
  <dataValidations count="2">
    <dataValidation type="list" allowBlank="1" showInputMessage="1" showErrorMessage="1" sqref="D23" xr:uid="{00000000-0002-0000-1800-000000000000}">
      <formula1>"Yes,No"</formula1>
    </dataValidation>
    <dataValidation type="list" allowBlank="1" showInputMessage="1" showErrorMessage="1" sqref="D21" xr:uid="{00000000-0002-0000-1800-000001000000}">
      <formula1>"Yes,No,N/A"</formula1>
    </dataValidation>
  </dataValidation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70C0"/>
  </sheetPr>
  <dimension ref="A1:D18"/>
  <sheetViews>
    <sheetView topLeftCell="A9" zoomScaleNormal="100" workbookViewId="0">
      <selection activeCell="B12" sqref="B12:D12"/>
    </sheetView>
  </sheetViews>
  <sheetFormatPr defaultRowHeight="14.5" x14ac:dyDescent="0.35"/>
  <cols>
    <col min="1" max="1" width="16.7265625" customWidth="1"/>
    <col min="2" max="3" width="75.7265625" customWidth="1"/>
    <col min="4" max="4" width="16.7265625" customWidth="1"/>
  </cols>
  <sheetData>
    <row r="1" spans="1:4" ht="20.5" thickBot="1" x14ac:dyDescent="0.4">
      <c r="A1" s="63">
        <v>7.1</v>
      </c>
      <c r="B1" s="139" t="s">
        <v>357</v>
      </c>
      <c r="C1" s="139"/>
      <c r="D1" s="140"/>
    </row>
    <row r="2" spans="1:4" ht="16" thickBot="1" x14ac:dyDescent="0.4">
      <c r="A2" s="113" t="s">
        <v>86</v>
      </c>
      <c r="B2" s="114"/>
      <c r="C2" s="114"/>
      <c r="D2" s="115"/>
    </row>
    <row r="3" spans="1:4" ht="37.75" customHeight="1" x14ac:dyDescent="0.35">
      <c r="A3" s="141" t="s">
        <v>358</v>
      </c>
      <c r="B3" s="142"/>
      <c r="C3" s="142"/>
      <c r="D3" s="143"/>
    </row>
    <row r="4" spans="1:4" ht="15.5" x14ac:dyDescent="0.35">
      <c r="A4" s="126" t="s">
        <v>88</v>
      </c>
      <c r="B4" s="116"/>
      <c r="C4" s="116" t="s">
        <v>89</v>
      </c>
      <c r="D4" s="117"/>
    </row>
    <row r="5" spans="1:4" ht="13.5" customHeight="1" x14ac:dyDescent="0.35">
      <c r="A5" s="150" t="s">
        <v>359</v>
      </c>
      <c r="B5" s="127"/>
      <c r="C5" s="127" t="s">
        <v>360</v>
      </c>
      <c r="D5" s="128"/>
    </row>
    <row r="6" spans="1:4" ht="37.75" customHeight="1" x14ac:dyDescent="0.35">
      <c r="A6" s="241" t="s">
        <v>361</v>
      </c>
      <c r="B6" s="242"/>
      <c r="C6" s="242"/>
      <c r="D6" s="243"/>
    </row>
    <row r="7" spans="1:4" ht="67.5" customHeight="1" thickBot="1" x14ac:dyDescent="0.4">
      <c r="A7" s="118" t="s">
        <v>362</v>
      </c>
      <c r="B7" s="119"/>
      <c r="C7" s="119"/>
      <c r="D7" s="120"/>
    </row>
    <row r="8" spans="1:4" ht="16" thickBot="1" x14ac:dyDescent="0.4">
      <c r="A8" s="136" t="s">
        <v>105</v>
      </c>
      <c r="B8" s="137"/>
      <c r="C8" s="137"/>
      <c r="D8" s="138"/>
    </row>
    <row r="9" spans="1:4" x14ac:dyDescent="0.35">
      <c r="A9" s="132" t="s">
        <v>106</v>
      </c>
      <c r="B9" s="133"/>
      <c r="C9" s="133"/>
      <c r="D9" s="134"/>
    </row>
    <row r="10" spans="1:4" ht="150.75" customHeight="1" x14ac:dyDescent="0.35">
      <c r="A10" s="153" t="s">
        <v>107</v>
      </c>
      <c r="B10" s="154"/>
      <c r="C10" s="154"/>
      <c r="D10" s="155"/>
    </row>
    <row r="11" spans="1:4" x14ac:dyDescent="0.35">
      <c r="A11" s="2" t="s">
        <v>108</v>
      </c>
      <c r="B11" s="135" t="s">
        <v>363</v>
      </c>
      <c r="C11" s="135"/>
      <c r="D11" s="29" t="s">
        <v>442</v>
      </c>
    </row>
    <row r="12" spans="1:4" ht="137.25" customHeight="1" x14ac:dyDescent="0.35">
      <c r="A12" s="156"/>
      <c r="B12" s="167" t="s">
        <v>466</v>
      </c>
      <c r="C12" s="167"/>
      <c r="D12" s="168"/>
    </row>
    <row r="13" spans="1:4" x14ac:dyDescent="0.35">
      <c r="A13" s="157"/>
      <c r="B13" s="159" t="s">
        <v>113</v>
      </c>
      <c r="C13" s="160"/>
      <c r="D13" s="30" t="s">
        <v>443</v>
      </c>
    </row>
    <row r="14" spans="1:4" ht="132.75" customHeight="1" thickBot="1" x14ac:dyDescent="0.4">
      <c r="A14" s="158"/>
      <c r="B14" s="161" t="s">
        <v>114</v>
      </c>
      <c r="C14" s="162"/>
      <c r="D14" s="163"/>
    </row>
    <row r="15" spans="1:4" x14ac:dyDescent="0.35">
      <c r="A15" s="174" t="s">
        <v>131</v>
      </c>
      <c r="B15" s="175"/>
      <c r="C15" s="175"/>
      <c r="D15" s="176"/>
    </row>
    <row r="16" spans="1:4" ht="16" thickBot="1" x14ac:dyDescent="0.4">
      <c r="A16" s="178" t="s">
        <v>132</v>
      </c>
      <c r="B16" s="179"/>
      <c r="C16" s="179"/>
      <c r="D16" s="20" t="str">
        <f>IF(D11="","TBD",IF(OR(D11="Yes",D11="N/A"),"In Place","Not in Place"))</f>
        <v>In Place</v>
      </c>
    </row>
    <row r="17" spans="1:4" x14ac:dyDescent="0.35">
      <c r="A17" s="174" t="s">
        <v>133</v>
      </c>
      <c r="B17" s="175"/>
      <c r="C17" s="175"/>
      <c r="D17" s="176"/>
    </row>
    <row r="18" spans="1:4" ht="149.25" customHeight="1" thickBot="1" x14ac:dyDescent="0.4">
      <c r="A18" s="177" t="s">
        <v>134</v>
      </c>
      <c r="B18" s="162"/>
      <c r="C18" s="162"/>
      <c r="D18" s="163"/>
    </row>
  </sheetData>
  <mergeCells count="21">
    <mergeCell ref="A6:D6"/>
    <mergeCell ref="A7:D7"/>
    <mergeCell ref="A8:D8"/>
    <mergeCell ref="A9:D9"/>
    <mergeCell ref="B1:D1"/>
    <mergeCell ref="A2:D2"/>
    <mergeCell ref="A3:D3"/>
    <mergeCell ref="A4:B4"/>
    <mergeCell ref="C4:D4"/>
    <mergeCell ref="A5:B5"/>
    <mergeCell ref="C5:D5"/>
    <mergeCell ref="A10:D10"/>
    <mergeCell ref="A15:D15"/>
    <mergeCell ref="A16:C16"/>
    <mergeCell ref="A17:D17"/>
    <mergeCell ref="A18:D18"/>
    <mergeCell ref="B11:C11"/>
    <mergeCell ref="A12:A14"/>
    <mergeCell ref="B12:D12"/>
    <mergeCell ref="B13:C13"/>
    <mergeCell ref="B14:D14"/>
  </mergeCells>
  <conditionalFormatting sqref="B14">
    <cfRule type="expression" dxfId="11" priority="2">
      <formula>D13="No"</formula>
    </cfRule>
  </conditionalFormatting>
  <conditionalFormatting sqref="D11">
    <cfRule type="cellIs" dxfId="10" priority="1" operator="equal">
      <formula>"N/A"</formula>
    </cfRule>
    <cfRule type="cellIs" dxfId="9" priority="5" operator="equal">
      <formula>"No"</formula>
    </cfRule>
    <cfRule type="cellIs" dxfId="8" priority="6" operator="equal">
      <formula>"Yes"</formula>
    </cfRule>
  </conditionalFormatting>
  <conditionalFormatting sqref="D16">
    <cfRule type="cellIs" dxfId="7" priority="3" operator="equal">
      <formula>"Not in Place"</formula>
    </cfRule>
    <cfRule type="cellIs" dxfId="6" priority="4" operator="equal">
      <formula>"In Place"</formula>
    </cfRule>
  </conditionalFormatting>
  <dataValidations count="2">
    <dataValidation type="list" allowBlank="1" showInputMessage="1" showErrorMessage="1" sqref="D11" xr:uid="{00000000-0002-0000-1900-000000000000}">
      <formula1>"Yes,No,N/A"</formula1>
    </dataValidation>
    <dataValidation type="list" allowBlank="1" showInputMessage="1" showErrorMessage="1" sqref="D13" xr:uid="{00000000-0002-0000-1900-000001000000}">
      <formula1>"Yes,No"</formula1>
    </dataValidation>
  </dataValidation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70C0"/>
  </sheetPr>
  <dimension ref="A1:D18"/>
  <sheetViews>
    <sheetView topLeftCell="A11" zoomScaleNormal="100" workbookViewId="0">
      <selection activeCell="B12" sqref="B12:D12"/>
    </sheetView>
  </sheetViews>
  <sheetFormatPr defaultRowHeight="14.5" x14ac:dyDescent="0.35"/>
  <cols>
    <col min="1" max="1" width="16.7265625" customWidth="1"/>
    <col min="2" max="3" width="75.7265625" customWidth="1"/>
    <col min="4" max="4" width="16.7265625" customWidth="1"/>
  </cols>
  <sheetData>
    <row r="1" spans="1:4" ht="20.5" thickBot="1" x14ac:dyDescent="0.4">
      <c r="A1" s="63" t="s">
        <v>417</v>
      </c>
      <c r="B1" s="139" t="s">
        <v>364</v>
      </c>
      <c r="C1" s="139"/>
      <c r="D1" s="140"/>
    </row>
    <row r="2" spans="1:4" ht="16" thickBot="1" x14ac:dyDescent="0.4">
      <c r="A2" s="113" t="s">
        <v>86</v>
      </c>
      <c r="B2" s="114"/>
      <c r="C2" s="114"/>
      <c r="D2" s="115"/>
    </row>
    <row r="3" spans="1:4" ht="37.75" customHeight="1" x14ac:dyDescent="0.35">
      <c r="A3" s="216" t="s">
        <v>365</v>
      </c>
      <c r="B3" s="217"/>
      <c r="C3" s="217"/>
      <c r="D3" s="218"/>
    </row>
    <row r="4" spans="1:4" ht="15.5" x14ac:dyDescent="0.35">
      <c r="A4" s="126" t="s">
        <v>88</v>
      </c>
      <c r="B4" s="116"/>
      <c r="C4" s="116" t="s">
        <v>89</v>
      </c>
      <c r="D4" s="117"/>
    </row>
    <row r="5" spans="1:4" ht="54" customHeight="1" x14ac:dyDescent="0.35">
      <c r="A5" s="150" t="s">
        <v>366</v>
      </c>
      <c r="B5" s="127"/>
      <c r="C5" s="127" t="s">
        <v>367</v>
      </c>
      <c r="D5" s="128"/>
    </row>
    <row r="6" spans="1:4" ht="60.75" customHeight="1" x14ac:dyDescent="0.35">
      <c r="A6" s="121" t="s">
        <v>368</v>
      </c>
      <c r="B6" s="122"/>
      <c r="C6" s="122"/>
      <c r="D6" s="123"/>
    </row>
    <row r="7" spans="1:4" ht="72.75" customHeight="1" thickBot="1" x14ac:dyDescent="0.4">
      <c r="A7" s="118" t="s">
        <v>406</v>
      </c>
      <c r="B7" s="119"/>
      <c r="C7" s="119"/>
      <c r="D7" s="120"/>
    </row>
    <row r="8" spans="1:4" ht="16" thickBot="1" x14ac:dyDescent="0.4">
      <c r="A8" s="136" t="s">
        <v>105</v>
      </c>
      <c r="B8" s="137"/>
      <c r="C8" s="137"/>
      <c r="D8" s="138"/>
    </row>
    <row r="9" spans="1:4" x14ac:dyDescent="0.35">
      <c r="A9" s="132" t="s">
        <v>106</v>
      </c>
      <c r="B9" s="133"/>
      <c r="C9" s="133"/>
      <c r="D9" s="134"/>
    </row>
    <row r="10" spans="1:4" ht="150.75" customHeight="1" x14ac:dyDescent="0.35">
      <c r="A10" s="153" t="s">
        <v>107</v>
      </c>
      <c r="B10" s="154"/>
      <c r="C10" s="154"/>
      <c r="D10" s="155"/>
    </row>
    <row r="11" spans="1:4" ht="22.5" customHeight="1" x14ac:dyDescent="0.35">
      <c r="A11" s="2" t="s">
        <v>108</v>
      </c>
      <c r="B11" s="135" t="s">
        <v>369</v>
      </c>
      <c r="C11" s="135"/>
      <c r="D11" s="29" t="s">
        <v>442</v>
      </c>
    </row>
    <row r="12" spans="1:4" ht="197.25" customHeight="1" x14ac:dyDescent="0.35">
      <c r="A12" s="156"/>
      <c r="B12" s="167" t="s">
        <v>457</v>
      </c>
      <c r="C12" s="167"/>
      <c r="D12" s="168"/>
    </row>
    <row r="13" spans="1:4" x14ac:dyDescent="0.35">
      <c r="A13" s="157"/>
      <c r="B13" s="159" t="s">
        <v>113</v>
      </c>
      <c r="C13" s="160"/>
      <c r="D13" s="30" t="s">
        <v>443</v>
      </c>
    </row>
    <row r="14" spans="1:4" ht="129" customHeight="1" thickBot="1" x14ac:dyDescent="0.4">
      <c r="A14" s="158"/>
      <c r="B14" s="161" t="s">
        <v>114</v>
      </c>
      <c r="C14" s="162"/>
      <c r="D14" s="163"/>
    </row>
    <row r="15" spans="1:4" x14ac:dyDescent="0.35">
      <c r="A15" s="174" t="s">
        <v>131</v>
      </c>
      <c r="B15" s="175"/>
      <c r="C15" s="175"/>
      <c r="D15" s="176"/>
    </row>
    <row r="16" spans="1:4" ht="16" thickBot="1" x14ac:dyDescent="0.4">
      <c r="A16" s="178" t="s">
        <v>132</v>
      </c>
      <c r="B16" s="179"/>
      <c r="C16" s="179"/>
      <c r="D16" s="20" t="str">
        <f>IF(D11="","TBD",IF(OR(D11="Yes",D11="N/A"),"In Place","Not in Place"))</f>
        <v>In Place</v>
      </c>
    </row>
    <row r="17" spans="1:4" x14ac:dyDescent="0.35">
      <c r="A17" s="174" t="s">
        <v>133</v>
      </c>
      <c r="B17" s="175"/>
      <c r="C17" s="175"/>
      <c r="D17" s="176"/>
    </row>
    <row r="18" spans="1:4" ht="195.75" customHeight="1" thickBot="1" x14ac:dyDescent="0.4">
      <c r="A18" s="177" t="s">
        <v>134</v>
      </c>
      <c r="B18" s="162"/>
      <c r="C18" s="162"/>
      <c r="D18" s="163"/>
    </row>
  </sheetData>
  <mergeCells count="21">
    <mergeCell ref="B11:C11"/>
    <mergeCell ref="B1:D1"/>
    <mergeCell ref="A2:D2"/>
    <mergeCell ref="A3:D3"/>
    <mergeCell ref="A4:B4"/>
    <mergeCell ref="C4:D4"/>
    <mergeCell ref="A5:B5"/>
    <mergeCell ref="C5:D5"/>
    <mergeCell ref="A6:D6"/>
    <mergeCell ref="A7:D7"/>
    <mergeCell ref="A8:D8"/>
    <mergeCell ref="A9:D9"/>
    <mergeCell ref="A10:D10"/>
    <mergeCell ref="A17:D17"/>
    <mergeCell ref="A18:D18"/>
    <mergeCell ref="A12:A14"/>
    <mergeCell ref="B12:D12"/>
    <mergeCell ref="B13:C13"/>
    <mergeCell ref="B14:D14"/>
    <mergeCell ref="A15:D15"/>
    <mergeCell ref="A16:C16"/>
  </mergeCells>
  <conditionalFormatting sqref="B14">
    <cfRule type="expression" dxfId="5" priority="2">
      <formula>D13="No"</formula>
    </cfRule>
  </conditionalFormatting>
  <conditionalFormatting sqref="D11">
    <cfRule type="cellIs" dxfId="4" priority="1" operator="equal">
      <formula>"N/A"</formula>
    </cfRule>
    <cfRule type="cellIs" dxfId="3" priority="5" operator="equal">
      <formula>"No"</formula>
    </cfRule>
    <cfRule type="cellIs" dxfId="2" priority="6" operator="equal">
      <formula>"Yes"</formula>
    </cfRule>
  </conditionalFormatting>
  <conditionalFormatting sqref="D16">
    <cfRule type="cellIs" dxfId="1" priority="3" operator="equal">
      <formula>"Not in Place"</formula>
    </cfRule>
    <cfRule type="cellIs" dxfId="0" priority="4" operator="equal">
      <formula>"In Place"</formula>
    </cfRule>
  </conditionalFormatting>
  <dataValidations count="2">
    <dataValidation type="list" allowBlank="1" showInputMessage="1" showErrorMessage="1" sqref="D13" xr:uid="{00000000-0002-0000-1A00-000000000000}">
      <formula1>"Yes,No"</formula1>
    </dataValidation>
    <dataValidation type="list" allowBlank="1" showInputMessage="1" showErrorMessage="1" sqref="D11" xr:uid="{00000000-0002-0000-1A00-000001000000}">
      <formula1>"Yes,No,N/A"</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cd20c33-af1a-40b0-86ea-a1cac974980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FD80CC070FE046A5DE7A10D8AC275C" ma:contentTypeVersion="9" ma:contentTypeDescription="Create a new document." ma:contentTypeScope="" ma:versionID="b7df37febae3125370d0614d04b64e35">
  <xsd:schema xmlns:xsd="http://www.w3.org/2001/XMLSchema" xmlns:xs="http://www.w3.org/2001/XMLSchema" xmlns:p="http://schemas.microsoft.com/office/2006/metadata/properties" xmlns:ns3="2cd20c33-af1a-40b0-86ea-a1cac9749800" xmlns:ns4="06a22b61-51b6-43c9-83b0-7720933a1fcd" targetNamespace="http://schemas.microsoft.com/office/2006/metadata/properties" ma:root="true" ma:fieldsID="1ad16a69f116db463e99f206d4bd7d50" ns3:_="" ns4:_="">
    <xsd:import namespace="2cd20c33-af1a-40b0-86ea-a1cac9749800"/>
    <xsd:import namespace="06a22b61-51b6-43c9-83b0-7720933a1fc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d20c33-af1a-40b0-86ea-a1cac974980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6a22b61-51b6-43c9-83b0-7720933a1fc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CE8683-209A-4937-8222-F086B3D9CA0A}">
  <ds:schemaRefs>
    <ds:schemaRef ds:uri="http://purl.org/dc/elements/1.1/"/>
    <ds:schemaRef ds:uri="http://purl.org/dc/terms/"/>
    <ds:schemaRef ds:uri="http://purl.org/dc/dcmitype/"/>
    <ds:schemaRef ds:uri="http://schemas.microsoft.com/office/2006/documentManagement/types"/>
    <ds:schemaRef ds:uri="2cd20c33-af1a-40b0-86ea-a1cac9749800"/>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06a22b61-51b6-43c9-83b0-7720933a1fcd"/>
  </ds:schemaRefs>
</ds:datastoreItem>
</file>

<file path=customXml/itemProps2.xml><?xml version="1.0" encoding="utf-8"?>
<ds:datastoreItem xmlns:ds="http://schemas.openxmlformats.org/officeDocument/2006/customXml" ds:itemID="{0DA6B7A9-D24B-4FB4-AC41-A3FAB17BC786}">
  <ds:schemaRefs>
    <ds:schemaRef ds:uri="http://schemas.microsoft.com/sharepoint/v3/contenttype/forms"/>
  </ds:schemaRefs>
</ds:datastoreItem>
</file>

<file path=customXml/itemProps3.xml><?xml version="1.0" encoding="utf-8"?>
<ds:datastoreItem xmlns:ds="http://schemas.openxmlformats.org/officeDocument/2006/customXml" ds:itemID="{163E1686-68F2-4519-A9EC-8EDBEAF81A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d20c33-af1a-40b0-86ea-a1cac9749800"/>
    <ds:schemaRef ds:uri="06a22b61-51b6-43c9-83b0-7720933a1f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868b825-edee-44ac-b7a2-e857f0213f31}" enabled="1" method="Standard" siteId="{45b55e44-3503-4284-bbe1-0e6bf9fa1d0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4</vt:i4>
      </vt:variant>
    </vt:vector>
  </HeadingPairs>
  <TitlesOfParts>
    <vt:vector size="33" baseType="lpstr">
      <vt:lpstr>Read me first </vt:lpstr>
      <vt:lpstr>Revision Record</vt:lpstr>
      <vt:lpstr>User Data</vt:lpstr>
      <vt:lpstr>Summary</vt:lpstr>
      <vt:lpstr>1.1</vt:lpstr>
      <vt:lpstr>1.2</vt:lpstr>
      <vt:lpstr>1.3</vt:lpstr>
      <vt:lpstr>1.4</vt:lpstr>
      <vt:lpstr>1.5</vt:lpstr>
      <vt:lpstr>2.1</vt:lpstr>
      <vt:lpstr>2.2</vt:lpstr>
      <vt:lpstr>2.3</vt:lpstr>
      <vt:lpstr>2.6</vt:lpstr>
      <vt:lpstr>2.7</vt:lpstr>
      <vt:lpstr>2.8</vt:lpstr>
      <vt:lpstr>2.9</vt:lpstr>
      <vt:lpstr>2.10</vt:lpstr>
      <vt:lpstr>3.1</vt:lpstr>
      <vt:lpstr>4.1</vt:lpstr>
      <vt:lpstr>4.2</vt:lpstr>
      <vt:lpstr>5.1</vt:lpstr>
      <vt:lpstr>5.2</vt:lpstr>
      <vt:lpstr>5.4</vt:lpstr>
      <vt:lpstr>6.1</vt:lpstr>
      <vt:lpstr>6.2</vt:lpstr>
      <vt:lpstr>6.3</vt:lpstr>
      <vt:lpstr>6.4</vt:lpstr>
      <vt:lpstr>7.1</vt:lpstr>
      <vt:lpstr>7.2</vt:lpstr>
      <vt:lpstr>'1.1'!Print_Area</vt:lpstr>
      <vt:lpstr>'Read me first '!Print_Area</vt:lpstr>
      <vt:lpstr>Summary!Print_Area</vt:lpstr>
      <vt:lpstr>'User Data'!Print_Area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Layton, Matthew [USA]</dc:creator>
  <cp:keywords/>
  <dc:description/>
  <cp:lastModifiedBy>Baljit Ghotra</cp:lastModifiedBy>
  <cp:revision/>
  <dcterms:created xsi:type="dcterms:W3CDTF">2018-10-17T05:53:27Z</dcterms:created>
  <dcterms:modified xsi:type="dcterms:W3CDTF">2026-01-12T18:40:29Z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b3bb7ad5-291d-4cb7-acb5-57a8a17c1640</vt:lpwstr>
  </property>
  <property fmtid="{D5CDD505-2E9C-101B-9397-08002B2CF9AE}" pid="3" name="ContentTypeId">
    <vt:lpwstr>0x01010063FD80CC070FE046A5DE7A10D8AC275C</vt:lpwstr>
  </property>
  <property fmtid="{D5CDD505-2E9C-101B-9397-08002B2CF9AE}" pid="4" name="MSIP_Label_4868b825-edee-44ac-b7a2-e857f0213f31_Enabled">
    <vt:lpwstr>true</vt:lpwstr>
  </property>
  <property fmtid="{D5CDD505-2E9C-101B-9397-08002B2CF9AE}" pid="5" name="MSIP_Label_4868b825-edee-44ac-b7a2-e857f0213f31_SetDate">
    <vt:lpwstr>2021-09-27T07:00:38Z</vt:lpwstr>
  </property>
  <property fmtid="{D5CDD505-2E9C-101B-9397-08002B2CF9AE}" pid="6" name="MSIP_Label_4868b825-edee-44ac-b7a2-e857f0213f31_Method">
    <vt:lpwstr>Standard</vt:lpwstr>
  </property>
  <property fmtid="{D5CDD505-2E9C-101B-9397-08002B2CF9AE}" pid="7" name="MSIP_Label_4868b825-edee-44ac-b7a2-e857f0213f31_Name">
    <vt:lpwstr>Restricted - External</vt:lpwstr>
  </property>
  <property fmtid="{D5CDD505-2E9C-101B-9397-08002B2CF9AE}" pid="8" name="MSIP_Label_4868b825-edee-44ac-b7a2-e857f0213f31_SiteId">
    <vt:lpwstr>45b55e44-3503-4284-bbe1-0e6bf9fa1d0a</vt:lpwstr>
  </property>
  <property fmtid="{D5CDD505-2E9C-101B-9397-08002B2CF9AE}" pid="9" name="MSIP_Label_4868b825-edee-44ac-b7a2-e857f0213f31_ActionId">
    <vt:lpwstr>4f6ddbbc-b3e4-4f55-b95e-641f588bc02e</vt:lpwstr>
  </property>
  <property fmtid="{D5CDD505-2E9C-101B-9397-08002B2CF9AE}" pid="10" name="MSIP_Label_4868b825-edee-44ac-b7a2-e857f0213f31_ContentBits">
    <vt:lpwstr>0</vt:lpwstr>
  </property>
</Properties>
</file>